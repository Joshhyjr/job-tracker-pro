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/>
  <mc:AlternateContent xmlns:mc="http://schemas.openxmlformats.org/markup-compatibility/2006">
    <mc:Choice Requires="x15">
      <x15ac:absPath xmlns:x15ac="http://schemas.microsoft.com/office/spreadsheetml/2010/11/ac" url="/Users/josh/Desktop/"/>
    </mc:Choice>
  </mc:AlternateContent>
  <xr:revisionPtr revIDLastSave="0" documentId="13_ncr:1_{7413560C-D7B8-EA40-9174-9327D0C86A94}" xr6:coauthVersionLast="47" xr6:coauthVersionMax="47" xr10:uidLastSave="{00000000-0000-0000-0000-000000000000}"/>
  <bookViews>
    <workbookView xWindow="4420" yWindow="660" windowWidth="25820" windowHeight="17200" xr2:uid="{00000000-000D-0000-FFFF-FFFF00000000}"/>
  </bookViews>
  <sheets>
    <sheet name="Applications" sheetId="1" r:id="rId1"/>
    <sheet name="Dashboard" sheetId="2" r:id="rId2"/>
    <sheet name="Stats" sheetId="3" r:id="rId3"/>
    <sheet name="List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8" i="2"/>
  <c r="G18" i="2"/>
  <c r="G17" i="2"/>
  <c r="G16" i="2"/>
  <c r="B16" i="2"/>
  <c r="B10" i="2"/>
  <c r="G15" i="2"/>
  <c r="G14" i="2"/>
  <c r="G13" i="2"/>
  <c r="G12" i="2"/>
  <c r="B12" i="2"/>
  <c r="G11" i="2"/>
  <c r="B11" i="2"/>
  <c r="G10" i="2"/>
  <c r="G9" i="2"/>
  <c r="B9" i="2"/>
  <c r="G8" i="2"/>
  <c r="G7" i="2"/>
  <c r="B7" i="2"/>
  <c r="B3" i="2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31" i="1"/>
  <c r="I31" i="1"/>
  <c r="J60" i="1"/>
  <c r="I60" i="1"/>
  <c r="J41" i="1"/>
  <c r="I41" i="1"/>
  <c r="J58" i="1"/>
  <c r="I58" i="1"/>
  <c r="J39" i="1"/>
  <c r="I39" i="1"/>
  <c r="J16" i="1"/>
  <c r="I16" i="1"/>
  <c r="J55" i="1"/>
  <c r="I55" i="1"/>
  <c r="J54" i="1"/>
  <c r="I54" i="1"/>
  <c r="J38" i="1"/>
  <c r="I38" i="1"/>
  <c r="J52" i="1"/>
  <c r="I52" i="1"/>
  <c r="J51" i="1"/>
  <c r="I51" i="1"/>
  <c r="J2" i="1"/>
  <c r="I2" i="1"/>
  <c r="J12" i="1"/>
  <c r="I12" i="1"/>
  <c r="J25" i="1"/>
  <c r="I25" i="1"/>
  <c r="J4" i="1"/>
  <c r="I4" i="1"/>
  <c r="J46" i="1"/>
  <c r="I46" i="1"/>
  <c r="J45" i="1"/>
  <c r="I45" i="1"/>
  <c r="J36" i="1"/>
  <c r="I36" i="1"/>
  <c r="J8" i="1"/>
  <c r="I8" i="1"/>
  <c r="J22" i="1"/>
  <c r="I22" i="1"/>
  <c r="J59" i="1"/>
  <c r="I59" i="1"/>
  <c r="J26" i="1"/>
  <c r="I26" i="1"/>
  <c r="J9" i="1"/>
  <c r="I9" i="1"/>
  <c r="J24" i="1"/>
  <c r="I24" i="1"/>
  <c r="J40" i="1"/>
  <c r="I40" i="1"/>
  <c r="J34" i="1"/>
  <c r="I34" i="1"/>
  <c r="J7" i="1"/>
  <c r="I7" i="1"/>
  <c r="J57" i="1"/>
  <c r="I57" i="1"/>
  <c r="J33" i="1"/>
  <c r="I33" i="1"/>
  <c r="J32" i="1"/>
  <c r="I32" i="1"/>
  <c r="J28" i="1"/>
  <c r="I28" i="1"/>
  <c r="J30" i="1"/>
  <c r="I30" i="1"/>
  <c r="J10" i="1"/>
  <c r="I10" i="1"/>
  <c r="J42" i="1"/>
  <c r="I42" i="1"/>
  <c r="J43" i="1"/>
  <c r="I43" i="1"/>
  <c r="J47" i="1"/>
  <c r="I47" i="1"/>
  <c r="J11" i="1"/>
  <c r="I11" i="1"/>
  <c r="J35" i="1"/>
  <c r="I35" i="1"/>
  <c r="J23" i="1"/>
  <c r="I23" i="1"/>
  <c r="J56" i="1"/>
  <c r="I56" i="1"/>
  <c r="J21" i="1"/>
  <c r="I21" i="1"/>
  <c r="J20" i="1"/>
  <c r="I20" i="1"/>
  <c r="J19" i="1"/>
  <c r="I19" i="1"/>
  <c r="J18" i="1"/>
  <c r="I18" i="1"/>
  <c r="J50" i="1"/>
  <c r="I50" i="1"/>
  <c r="J6" i="1"/>
  <c r="I6" i="1"/>
  <c r="J48" i="1"/>
  <c r="I48" i="1"/>
  <c r="J14" i="1"/>
  <c r="I14" i="1"/>
  <c r="J17" i="1"/>
  <c r="I17" i="1"/>
  <c r="J29" i="1"/>
  <c r="I29" i="1"/>
  <c r="J5" i="1"/>
  <c r="I5" i="1"/>
  <c r="J44" i="1"/>
  <c r="I44" i="1"/>
  <c r="J53" i="1"/>
  <c r="I53" i="1"/>
  <c r="J27" i="1"/>
  <c r="I27" i="1"/>
  <c r="J13" i="1"/>
  <c r="I13" i="1"/>
  <c r="J15" i="1"/>
  <c r="I15" i="1"/>
  <c r="J49" i="1"/>
  <c r="I49" i="1"/>
  <c r="J37" i="1"/>
  <c r="I37" i="1"/>
  <c r="J3" i="1"/>
  <c r="I3" i="1"/>
  <c r="J61" i="1"/>
  <c r="I61" i="1"/>
  <c r="H3" i="2"/>
  <c r="E3" i="2"/>
  <c r="E10" i="3"/>
  <c r="H15" i="2"/>
  <c r="E2" i="3"/>
  <c r="H7" i="2"/>
  <c r="E3" i="3"/>
  <c r="H8" i="2"/>
  <c r="E4" i="3"/>
  <c r="H9" i="2"/>
  <c r="E5" i="3"/>
  <c r="H10" i="2"/>
  <c r="E6" i="3"/>
  <c r="H11" i="2"/>
  <c r="E7" i="3"/>
  <c r="H12" i="2"/>
  <c r="E13" i="3"/>
  <c r="H18" i="2"/>
  <c r="E8" i="3"/>
  <c r="H13" i="2"/>
  <c r="E12" i="3"/>
  <c r="H17" i="2"/>
  <c r="E9" i="3"/>
  <c r="H14" i="2"/>
  <c r="E11" i="3"/>
  <c r="H16" i="2"/>
  <c r="B2" i="3"/>
  <c r="B26" i="3"/>
  <c r="B10" i="3"/>
  <c r="B12" i="3"/>
  <c r="B9" i="3"/>
  <c r="B13" i="3"/>
  <c r="B8" i="3"/>
  <c r="B14" i="3"/>
  <c r="B7" i="3"/>
  <c r="B15" i="3"/>
  <c r="B6" i="3"/>
  <c r="B18" i="3"/>
  <c r="B5" i="3"/>
  <c r="B20" i="3"/>
  <c r="B4" i="3"/>
  <c r="B22" i="3"/>
  <c r="B3" i="3"/>
  <c r="B23" i="3"/>
  <c r="B25" i="3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3" i="2"/>
  <c r="E8" i="2"/>
  <c r="B21" i="3"/>
  <c r="B24" i="3"/>
  <c r="B17" i="3"/>
  <c r="E15" i="2"/>
  <c r="E12" i="2"/>
  <c r="B16" i="3"/>
  <c r="E14" i="2"/>
  <c r="E11" i="2"/>
  <c r="E10" i="2"/>
  <c r="E9" i="2"/>
  <c r="B19" i="3"/>
  <c r="B11" i="3"/>
</calcChain>
</file>

<file path=xl/sharedStrings.xml><?xml version="1.0" encoding="utf-8"?>
<sst xmlns="http://schemas.openxmlformats.org/spreadsheetml/2006/main" count="570" uniqueCount="269">
  <si>
    <t>Job Title</t>
  </si>
  <si>
    <t>Company Name</t>
  </si>
  <si>
    <t>Link</t>
  </si>
  <si>
    <t>Location</t>
  </si>
  <si>
    <t>Current Status</t>
  </si>
  <si>
    <t>Response Status</t>
  </si>
  <si>
    <t>Date Applied</t>
  </si>
  <si>
    <t>Week Start (Mon)</t>
  </si>
  <si>
    <t>Month Start</t>
  </si>
  <si>
    <t>Notes</t>
  </si>
  <si>
    <t>Follow-Up Date</t>
  </si>
  <si>
    <t>User Experience I (Intern)</t>
  </si>
  <si>
    <t>Cisco</t>
  </si>
  <si>
    <t>https://careers.cisco.com/global/en/job/2003544/User-Experience-I-Intern-United-States</t>
  </si>
  <si>
    <t>US</t>
  </si>
  <si>
    <t>Applied</t>
  </si>
  <si>
    <t>No response</t>
  </si>
  <si>
    <t>Incident Response Analyst</t>
  </si>
  <si>
    <t>https://careers.cisco.com/global/en/job/1449677/Incident-Response-Analyst</t>
  </si>
  <si>
    <t>Costa Rica</t>
  </si>
  <si>
    <t>Rejected</t>
  </si>
  <si>
    <t>IT Operations Analyst III</t>
  </si>
  <si>
    <t>TD</t>
  </si>
  <si>
    <t>https://td.wd3.myworkdayjobs.com/en-US/TD_Bank_Careers/job/IT-Operations-Analyst-III_R_1450362</t>
  </si>
  <si>
    <t>Canada</t>
  </si>
  <si>
    <t xml:space="preserve">Sent follow up message on Jan 13 </t>
  </si>
  <si>
    <t>Software Engineer II</t>
  </si>
  <si>
    <t>https://td.wd3.myworkdayjobs.com/en-US/TD_Bank_Careers/job/Software-Engineer-II_R_1461269</t>
  </si>
  <si>
    <t>Business Insights Analyst II</t>
  </si>
  <si>
    <t>https://td.wd3.myworkdayjobs.com/en-US/TD_Bank_Careers/job/Business-Insights-Analyst-II_R_1452498</t>
  </si>
  <si>
    <t>Business Insights Analyst I</t>
  </si>
  <si>
    <t>https://td.wd3.myworkdayjobs.com/en-US/TD_Bank_Careers/job/Business-Insights-Analyst-I_R_1462465</t>
  </si>
  <si>
    <t>Data Scientist</t>
  </si>
  <si>
    <t>RBC</t>
  </si>
  <si>
    <t>https://jobs.rbc.com/ca/en/job/R-0000152479/Data-Scientist-Halifax</t>
  </si>
  <si>
    <t>Support Analyst</t>
  </si>
  <si>
    <t>https://jobs.rbc.com/ca/en/job/R-0000150687/Support-Analyst</t>
  </si>
  <si>
    <t>Product Design Intern</t>
  </si>
  <si>
    <t>Stripe</t>
  </si>
  <si>
    <t>https://www.opendoorscareers.com/jobs/product-design-intern-stripe</t>
  </si>
  <si>
    <t>Application Developer/Analyst</t>
  </si>
  <si>
    <t xml:space="preserve">Gov't of NS </t>
  </si>
  <si>
    <t>https://jobs.novascotia.ca/job/HALIFAX-Application-DeveloperAnalyst-%28Computer-Services-Officer-1%28A%29-%28B%29-2%28A%29-%28C%29%29-NS-B3J-1M7/598531217/</t>
  </si>
  <si>
    <t xml:space="preserve">Reached out to HR on linkedIn </t>
  </si>
  <si>
    <t>Frontend Developer (Contract)</t>
  </si>
  <si>
    <t>AG Business Advisory</t>
  </si>
  <si>
    <t>patrick@agbusinessadvisory.com
www.agbusinessadvisory.com</t>
  </si>
  <si>
    <t>CA-Specialist: Full-Time, Part-Time, and Part-Time Temporary role</t>
  </si>
  <si>
    <t>Apple</t>
  </si>
  <si>
    <t>https://jobs.apple.com/en-us/details/114438004/CA-Specialist-Full-Time,-Part-Time,-and-Part-Time-Temporary</t>
  </si>
  <si>
    <t>Data Services. Developer Associate (Toronto, Ottawa or Montreal)</t>
  </si>
  <si>
    <t>IBM</t>
  </si>
  <si>
    <t>https://ibmglobal.avature.net/en_US/careers/JobDetail?jobId=84810&amp;source=WEB_Search_NA</t>
  </si>
  <si>
    <t>Software Developer</t>
  </si>
  <si>
    <t>Konrad</t>
  </si>
  <si>
    <t>https://www.konrad.com/careers/job/software-developer-entry-level_5893240003</t>
  </si>
  <si>
    <t>Follow up message scheduled to send on Wed at 17:00</t>
  </si>
  <si>
    <t>Application Support - Java skills - Associate</t>
  </si>
  <si>
    <t>Hexaware</t>
  </si>
  <si>
    <t>https://fa-etqo-saasfaprod1.fa.ocs.oraclecloud.com/hcmUI/CandidateExperience/en/sites/CX_1/job/589735</t>
  </si>
  <si>
    <t>Software Support Specialist</t>
  </si>
  <si>
    <t>The Reynolds and Reynolds Company</t>
  </si>
  <si>
    <t>https://www.linkedin.com/jobs/view/4321231879/?refId=4a3152df-c8c7-402c-bd91-ae49a78b35cd&amp;trackingId=d8iTJSyOQgCA1XOXYPaXMw%3D%3D&amp;trk=flagship3_job_home_appliedjobs&amp;lipi=urn%3Ali%3Apage%3Ad_flagship3_myitems_savedjobs%3Bsxm9Gs0iQNWzz3%2Bt%2FRdwuQ%3D%3D</t>
  </si>
  <si>
    <t xml:space="preserve">Technical Support Specialist </t>
  </si>
  <si>
    <t>Koch</t>
  </si>
  <si>
    <t>https://koch.avature.net/en_US/careers/JobDetail/177798?src=LinkedIn&amp;source=LinkedIn#</t>
  </si>
  <si>
    <t>AI &amp; Automation Data Scientist Intern</t>
  </si>
  <si>
    <t>https://careers.ibm.com/en_US/careers/JobDetail?jobId=86185&amp;source=External+Career+Site&amp;tags=&amp;user=&amp;formValues=</t>
  </si>
  <si>
    <t>AI Specialist – Entry Level Sales Program 2026</t>
  </si>
  <si>
    <t>https://careers.ibm.com/en_US/careers/JobDetail?jobId=61743&amp;source=WEB_Leadrouting&amp;tags=&amp;user=&amp;formValues=</t>
  </si>
  <si>
    <t>Graduate Recruitment Opportunities</t>
  </si>
  <si>
    <t>Manulife</t>
  </si>
  <si>
    <t>https://careers.manulife.com/global/en/job/JR25100795/Graduate-Recruitment-Opportunities-GRO-Technology</t>
  </si>
  <si>
    <t>Systems testing technician</t>
  </si>
  <si>
    <t>Agilehive Inc</t>
  </si>
  <si>
    <t>https://www.jobbank.gc.ca/match/jobposting/3448830</t>
  </si>
  <si>
    <t>Sent them a message on linkedIN, couldn't find someone</t>
  </si>
  <si>
    <t>Automobile carrier driver</t>
  </si>
  <si>
    <t xml:space="preserve">East Can Transport Services Ltd. 
</t>
  </si>
  <si>
    <t>https://www.jobbank.gc.ca/jobsearch/directapply/48191896</t>
  </si>
  <si>
    <t>instructional designer</t>
  </si>
  <si>
    <t>Team Recruitment</t>
  </si>
  <si>
    <t>https://www.jobbank.gc.ca/jobsearch/jobposting/48101221?source=searchresults</t>
  </si>
  <si>
    <t>Applied through emailing hr@teamrecruiter.com</t>
  </si>
  <si>
    <t>Automation Tester</t>
  </si>
  <si>
    <t xml:space="preserve">Expedite Talent Solutions </t>
  </si>
  <si>
    <t>https://www2.jobdiva.com/portal/?a=p9jdnwkqidcv6v7kl3s2jz2ipcslzc03cdv6u87hp8h64yiv0s2m7ylo90bxdjp7&amp;SearchString=&amp;StatesString=&amp;source=linkedin.com&amp;id=26462648&amp;compid=-1#/jobs/26462648?jobtitle=Automation+Tester</t>
  </si>
  <si>
    <t>Quality Assurance Specialist</t>
  </si>
  <si>
    <t>BMO</t>
  </si>
  <si>
    <t>https://bmo.wd3.myworkdayjobs.com/en-US/External/job/Toronto-ON-CAN/Quality-Assurance-Specialist_R250032292?source=Social_Linkedin</t>
  </si>
  <si>
    <t>PART-TIME DATA CONTRACTOR</t>
  </si>
  <si>
    <t>Allow.ai</t>
  </si>
  <si>
    <t>https://jobs.lever.co/alloy/a22f91d4-373e-4a8a-b19a-b607411d20bb</t>
  </si>
  <si>
    <t>Manufacturing Test Developer</t>
  </si>
  <si>
    <t>Ross Video</t>
  </si>
  <si>
    <t>https://www.linkedin.com/jobs/view/4364211029/</t>
  </si>
  <si>
    <t>Associate, UI/UX Designer</t>
  </si>
  <si>
    <t>https://bmo.wd3.myworkdayjobs.com/en-US/External/job/Toronto-ON-CAN/Associate--UX-Lead_R250030947</t>
  </si>
  <si>
    <t>Software Developer, Summer 2026 (Co-op/Internship) - 12 Months</t>
  </si>
  <si>
    <t>https://bmo.wd3.myworkdayjobs.com/en-US/External/job/Software-Developer--Summer-2026--Co-op-Internship----12-Months_R260000043-1</t>
  </si>
  <si>
    <t>Digital Data Analyst</t>
  </si>
  <si>
    <t>MarTech</t>
  </si>
  <si>
    <t>https://jobs.dayforcehcm.com/en-CA/makeawishca/CANDIDATEPORTAL/jobs/1343</t>
  </si>
  <si>
    <t>confirmation number is 2VQ4zXJE</t>
  </si>
  <si>
    <t>Analyst, IT Quality Assurance</t>
  </si>
  <si>
    <t>CIBC</t>
  </si>
  <si>
    <t>https://cibc.wd3.myworkdayjobs.com/en-US/search/job/Toronto-ON/Analyst--IT-Quality-Assurance_2529251?q=%27digital+OR+technology%27&amp;Country=a30a87ed25634629aa6c3958aa2b91ea&amp;jobFamilyGroup=4bbe6c74e8a7011e314d36a881013310&amp;jobFamilyGroup=4bbe6c74e8a70126f29430a881012510&amp;jobFamilyGroup=4bbe6c74e8a7011c6e1c34a881012d10&amp;jobFamilyGroup=4bbe6c74e8a701e2782e2da881011b10</t>
  </si>
  <si>
    <t>Consultant, IT Quality Assurance</t>
  </si>
  <si>
    <t>https://cibc.wd3.myworkdayjobs.com/en-US/search/job/Toronto-ON/Consultant--IT-Quality-Assurance_2600940?q=%27digital+OR+technology%27&amp;Country=a30a87ed25634629aa6c3958aa2b91ea&amp;jobFamilyGroup=4bbe6c74e8a7011e314d36a881013310&amp;jobFamilyGroup=4bbe6c74e8a70126f29430a881012510&amp;jobFamilyGroup=4bbe6c74e8a7011c6e1c34a881012d10&amp;jobFamilyGroup=4bbe6c74e8a701e2782e2da881011b10</t>
  </si>
  <si>
    <t>Technical Systems Analyst</t>
  </si>
  <si>
    <t>https://rbc.wd3.myworkdayjobs.com/en-US/RBCGLOBAL1/job/Technical-Systems-Analyst_R-0000155207-1</t>
  </si>
  <si>
    <t>Application Support Analyst</t>
  </si>
  <si>
    <t>https://jobs.rbc.com/ca/en/job/R-0000154313/Application-Support-Analyst</t>
  </si>
  <si>
    <t>information technology (IT) project manager</t>
  </si>
  <si>
    <t>EduCoach Consultants Inc.</t>
  </si>
  <si>
    <t>https://www.jobbank.gc.ca/jobsearch/favourites/jobposting/48310782</t>
  </si>
  <si>
    <t>ITC - First Level Helpdesk Support</t>
  </si>
  <si>
    <t>City of Brandon</t>
  </si>
  <si>
    <t>https://jobs.dayforcehcm.com/en-US/brandon/COB/jobs/1188</t>
  </si>
  <si>
    <t>Computer technician</t>
  </si>
  <si>
    <t>Uniway computers</t>
  </si>
  <si>
    <t>https://www.jobbank.gc.ca/jobsearch/jobposting/48124798?source=searchresults</t>
  </si>
  <si>
    <t>Associate Specialist Service Operations (Service Desk)</t>
  </si>
  <si>
    <t>SITA</t>
  </si>
  <si>
    <t>https://careers-sita.icims.com/jobs/10094/associate-specialist-service-operations-%28service-desk%29/job?mode=submit_apply</t>
  </si>
  <si>
    <t>Data Analyst</t>
  </si>
  <si>
    <t>CI Financial</t>
  </si>
  <si>
    <t>https://careers.cifinancial.com/jobs/16916545-data-analyst</t>
  </si>
  <si>
    <t>Technology Support Analyst</t>
  </si>
  <si>
    <t>https://careers.cifinancial.com/jobs/16544165-technology-support-analyst?application_canceled=true</t>
  </si>
  <si>
    <t>Census Enumerator</t>
  </si>
  <si>
    <t>Gov't of Canada</t>
  </si>
  <si>
    <t>https://www.census.gc.ca/en/jobs?utm_source=regional-admail-wave-3&amp;utm_medium=qrc&amp;utm_campaign=statcan-statcan-regional-comms-recruitment-25-26&amp;utm_content=general-recruitment-en</t>
  </si>
  <si>
    <t>artificial intelligence (AI) designer</t>
  </si>
  <si>
    <t>Canadian Career Education College</t>
  </si>
  <si>
    <t>https://www.jobbank.gc.ca/jobsearch/jobposting/48380180</t>
  </si>
  <si>
    <t>IT Help Desk Specialist</t>
  </si>
  <si>
    <t>SB &amp; Company LLC</t>
  </si>
  <si>
    <t>https://www.paycomonline.net/v4/ats/web.php/portal/4FC6CE92B3BAE50ED87DF1496EDDBC6E/jobs/348519</t>
  </si>
  <si>
    <t>AI Software Engineer</t>
  </si>
  <si>
    <t>Fever</t>
  </si>
  <si>
    <t>https://careers.feverup.com/fr/jobs/4551447101/ai-software-engineer/</t>
  </si>
  <si>
    <t>Spain</t>
  </si>
  <si>
    <t>AI &amp; Automation Analyst</t>
  </si>
  <si>
    <t>https://careers.feverup.com/fr/jobs/4761466101/ai-automation-analyst/</t>
  </si>
  <si>
    <t>AI Hub Campaign &amp; Knowledge Analyst</t>
  </si>
  <si>
    <t>UNDP</t>
  </si>
  <si>
    <t>https://estm.fa.em2.oraclecloud.com/hcmUI/CandidateExperience/en/sites/CX_1/job/30896</t>
  </si>
  <si>
    <t>Italy</t>
  </si>
  <si>
    <t>Customer Engineer</t>
  </si>
  <si>
    <t xml:space="preserve">Through a recruiting comopany called Hays </t>
  </si>
  <si>
    <t>https://www.hays.ca/job-detail/customer-engineer--oakville_1123132?q=&amp;location=&amp;applyId=JOB_5369759&amp;jobSource=HaysGCJ&amp;isSponsored=N&amp;specialismId=&amp;subSpecialismId=&amp;jobName=projects%2Fmineral-balm-174308%2Ftenants%2Fab5d683d-f9a5-4b85-bfe0-eb74881e24cf%2Fjobs%2F122347838238532294</t>
  </si>
  <si>
    <t>Business Analyst - Intermediate</t>
  </si>
  <si>
    <t>Randstand</t>
  </si>
  <si>
    <t>https://www.randstad.ca/jobs/business-analyst-intermediate_toronto_46367020/</t>
  </si>
  <si>
    <t xml:space="preserve"> AI Transformation Lead</t>
  </si>
  <si>
    <t>https://www.randstad.ca/jobs/ai-transformation-lead_saint-laurent_46368926/</t>
  </si>
  <si>
    <t>Data Analyst I - Customer Service</t>
  </si>
  <si>
    <t>Booking.com</t>
  </si>
  <si>
    <t>https://jobs.booking.com/booking/jobs/27815?lang=en-us&amp;iis=Job+Board&amp;iisn=Linkedin</t>
  </si>
  <si>
    <t>Netherlands</t>
  </si>
  <si>
    <t>Credit Risk Data Analyst</t>
  </si>
  <si>
    <t>https://jobs.booking.com/booking/jobs/27699?lang=en-us</t>
  </si>
  <si>
    <t>Quick Start:</t>
  </si>
  <si>
    <t>1) Add one application per row (Job Title, Company, Link, etc.).</t>
  </si>
  <si>
    <t>2) Set Current Status / Response Status from the dropdowns.</t>
  </si>
  <si>
    <t>3) Enter Date Applied — Dashboard updates automatically.</t>
  </si>
  <si>
    <t>Job Application Tracker — Dashboard</t>
  </si>
  <si>
    <t>Total Applications</t>
  </si>
  <si>
    <t>This Week</t>
  </si>
  <si>
    <t>This Month</t>
  </si>
  <si>
    <t>Counts by Current Status</t>
  </si>
  <si>
    <t xml:space="preserve">Weekly Applications </t>
  </si>
  <si>
    <t xml:space="preserve">Monthly Applications </t>
  </si>
  <si>
    <t>Status</t>
  </si>
  <si>
    <t>Count</t>
  </si>
  <si>
    <t>Week Start</t>
  </si>
  <si>
    <t>Month</t>
  </si>
  <si>
    <t>Interview</t>
  </si>
  <si>
    <t>Offer</t>
  </si>
  <si>
    <t>No Response</t>
  </si>
  <si>
    <t>Withdrawn</t>
  </si>
  <si>
    <t xml:space="preserve">Total Rejections </t>
  </si>
  <si>
    <t>Applications</t>
  </si>
  <si>
    <t>Current Status List</t>
  </si>
  <si>
    <t>Response Status List</t>
  </si>
  <si>
    <t>No response yet</t>
  </si>
  <si>
    <t>Auto-reply received</t>
  </si>
  <si>
    <t>Human reply received</t>
  </si>
  <si>
    <t>Interview scheduled</t>
  </si>
  <si>
    <t>Offer received</t>
  </si>
  <si>
    <t>IT Operations Specialist</t>
  </si>
  <si>
    <t>Waste Solutions Canada</t>
  </si>
  <si>
    <t>https://workforcenow.adp.com/mascsr/default/mdf/recruitment/recruitment.html?cid=38cbb708-0ab7-441d-b4a6-32a4800bf98c&amp;ccId=19000101_000001&amp;lang=en_CA&amp;jobId=523850</t>
  </si>
  <si>
    <t>Nutrien</t>
  </si>
  <si>
    <t>Operations Lead</t>
  </si>
  <si>
    <t>https://jobs.nutrien.com/North-America/job/Penhold-Operations-Lead-AB-T0M-1R0/599263517/</t>
  </si>
  <si>
    <t>https://jobs.nutrien.com/North-America/job/Rocanville-Analyst%2C-IT%2C-Rocanville-SK-S0A-3L0/599082117/</t>
  </si>
  <si>
    <t>Analyst</t>
  </si>
  <si>
    <t>Ecco Heating Products Ltd</t>
  </si>
  <si>
    <t>https://www.jobbank.gc.ca/jobsearch/favourites/jobposting/48157969</t>
  </si>
  <si>
    <t>IT Technician</t>
  </si>
  <si>
    <t>Hitech Communications LTD</t>
  </si>
  <si>
    <t>https://phh.tbe.taleo.net/phh01/ats/careers/v2/viewRequisition?org=GRANTTHORNTON&amp;cws=56&amp;rid=11587&amp;source=Indeed</t>
  </si>
  <si>
    <t>Doane Grant Thorton</t>
  </si>
  <si>
    <t>Service Desk Tier 1 Analyst</t>
  </si>
  <si>
    <t>Indeed</t>
  </si>
  <si>
    <t>Junior QA Specialist</t>
  </si>
  <si>
    <t>Mako</t>
  </si>
  <si>
    <t>https://tractionrec.bamboohr.com/careers/138</t>
  </si>
  <si>
    <t>Traction</t>
  </si>
  <si>
    <t>Junior Product Developer</t>
  </si>
  <si>
    <t>Business systems analyst</t>
  </si>
  <si>
    <t>https://www.jobbank.gc.ca/jobsearch/jobposting/48407632?source=searchresults</t>
  </si>
  <si>
    <t>City of Burnaby</t>
  </si>
  <si>
    <t>information technology (IT) director</t>
  </si>
  <si>
    <t>Software Engineer - New Grad</t>
  </si>
  <si>
    <t>Databricks</t>
  </si>
  <si>
    <t>https://www.databricks.com/company/careers/university-recruiting/software-engineer---new-grad-2026-start-6866542002</t>
  </si>
  <si>
    <t xml:space="preserve">Software Engineer </t>
  </si>
  <si>
    <t>Snowflake</t>
  </si>
  <si>
    <t>https://careers.snowflake.com/us/en/job/SNCOUSDDEB79027A40473CB54460CE107B8EE3EXTERNALENUS9AA5AC83C68E4AF481CB536EC03B9CFA/Software-Engineer-Native-Apps</t>
  </si>
  <si>
    <t>Backend software enginner</t>
  </si>
  <si>
    <t>https://careers.snowflake.com/us/en/job/SNCOUS31CB876803234C86A13DAF69242DA05AEXTERNALENUSCB895B7CC61B4A498001E70737681DCF/Backend-Software-Engineer-File-Based-Entities</t>
  </si>
  <si>
    <t>Workflow Consultant</t>
  </si>
  <si>
    <t>Clio</t>
  </si>
  <si>
    <t>https://clio.wd3.myworkdayjobs.com/en-US/ClioCareerSite/job/Toronto/Workflow-Consultant_BF-REQ-4086-1?source=LinkedIn</t>
  </si>
  <si>
    <t>Implementation Specialist</t>
  </si>
  <si>
    <t>Affirm</t>
  </si>
  <si>
    <t>https://www.linkedin.com/jobs/view/4367048077/</t>
  </si>
  <si>
    <t>Associate Product Support Specialist</t>
  </si>
  <si>
    <t>OpenText</t>
  </si>
  <si>
    <t>https://careers.opentext.com/us/en/job/50340/Associate-Product-Support-Specialist?referrerToken=1k1u0wm1my89y&amp;utm_source=Referral+Form&amp;utm_medium=referral&amp;utm_campaign=quick-refer-jd</t>
  </si>
  <si>
    <t>NOC Administrator</t>
  </si>
  <si>
    <t>https://careers.opentext.com/us/en/job/50547/NOC-Administrator?referrerToken=uvhf3ge5keup&amp;utm_source=Referral+Form&amp;utm_medium=referral&amp;utm_campaign=quick-refer-jd</t>
  </si>
  <si>
    <t xml:space="preserve">Got rejected </t>
  </si>
  <si>
    <t>Customer Experience Consulting Associate</t>
  </si>
  <si>
    <t>https://careers.ibm.com/en_US/careers/JobDetail?jobId=82185</t>
  </si>
  <si>
    <t>information technology (IT) specialist</t>
  </si>
  <si>
    <t>Forest Computers</t>
  </si>
  <si>
    <t>https://www.jobbank.gc.ca/jobsearch/favourites/jobposting/48893995</t>
  </si>
  <si>
    <t>Area Manager</t>
  </si>
  <si>
    <t>Amazon</t>
  </si>
  <si>
    <t>https://amazon.jobs/en/jobs/3048857/area-manager-2026-canada-recent-and-upcoming-graduates-jan1</t>
  </si>
  <si>
    <t>https://recruiting.calgary.ca/psc/hcm/EMPLOYEE/HRMS/c/HRS_HRAM_FL.HRS_CG_SEARCH_FL.GBL?Page=HRS_APP_SCHJOB_FL&amp;Action=U&amp;</t>
  </si>
  <si>
    <t>City of Calgary</t>
  </si>
  <si>
    <t>Marketing Data Analyst</t>
  </si>
  <si>
    <t xml:space="preserve">Welthungerhilfe </t>
  </si>
  <si>
    <t>https://career5.successfactors.eu/career?career_ns=job_listing&amp;company=WelthungerP&amp;career_job_req_id=13922&amp;selected_lang=en_US</t>
  </si>
  <si>
    <t>Germany</t>
  </si>
  <si>
    <t>Follow Ups</t>
  </si>
  <si>
    <t>No</t>
  </si>
  <si>
    <t>Yes</t>
  </si>
  <si>
    <t xml:space="preserve">Total follow ups </t>
  </si>
  <si>
    <t>Haven't followed up</t>
  </si>
  <si>
    <t>Sent a message to the company page on LinkedIn</t>
  </si>
  <si>
    <t>Sent email</t>
  </si>
  <si>
    <t>Technical Support Analyst</t>
  </si>
  <si>
    <t>Cognito Inc</t>
  </si>
  <si>
    <t>https://www.linkedin.com/jobs/view/4371001225</t>
  </si>
  <si>
    <t>Sutherland</t>
  </si>
  <si>
    <t>Technical Support Representatives</t>
  </si>
  <si>
    <t>https://jobs.smartrecruiters.com/Sutherland/744000108239849-technical-support-representatives?jr_id=698a56ff0f6f7e7a2ce57102</t>
  </si>
  <si>
    <t>Forta</t>
  </si>
  <si>
    <t>https://fortra.wd12.myworkdayjobs.com/FortraCareers/job/Canada/Associate-Support-Analyst_R26-0051?source=LinkedIn&amp;jr_id=6983d5fd01214b4cdacbe8b2</t>
  </si>
  <si>
    <t>Associate Support Analyst</t>
  </si>
  <si>
    <t>Quality Assurance Analyst</t>
  </si>
  <si>
    <t>https://jobs.rbc.com/ca/en/apply?jobSeqNo=RBCAA0088R0000155207EXTERNALENCA&amp;utm_source=jobright&amp;utm_medium=phenom-feeds&amp;utm_campaign=jobright&amp;step=1&amp;stepname=personalInformation</t>
  </si>
  <si>
    <t>Canadaa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</si>
</sst>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£&quot;* #,##0.00_);_(&quot;£&quot;* \(#,##0.00\);_(&quot;£&quot;* &quot;-&quot;??_);_(@_)"/>
    <numFmt numFmtId="164" formatCode="yyyy\-mm\-dd"/>
    <numFmt numFmtId="165" formatCode="yyyy\-m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4"/>
      <color rgb="FF1F4E79"/>
      <name val="Calibri"/>
      <family val="2"/>
    </font>
    <font>
      <b/>
      <sz val="16"/>
      <color rgb="FF1F4E79"/>
      <name val="Calibri"/>
      <family val="2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FFA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5" fillId="4" borderId="0"/>
    <xf numFmtId="0" fontId="6" fillId="0" borderId="0"/>
    <xf numFmtId="44" fontId="7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6" fillId="0" borderId="1" xfId="2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8" fillId="4" borderId="2" xfId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4" borderId="2" xfId="1" applyBorder="1" applyAlignment="1">
      <alignment horizontal="left"/>
    </xf>
    <xf numFmtId="0" fontId="6" fillId="0" borderId="0" xfId="2" applyAlignment="1">
      <alignment horizontal="left"/>
    </xf>
    <xf numFmtId="14" fontId="0" fillId="0" borderId="1" xfId="3" applyNumberFormat="1" applyFon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6" fillId="0" borderId="0" xfId="2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0" xfId="2" applyBorder="1" applyAlignment="1">
      <alignment horizontal="left" vertical="center" wrapText="1"/>
    </xf>
    <xf numFmtId="0" fontId="6" fillId="0" borderId="1" xfId="2" applyBorder="1" applyAlignment="1">
      <alignment horizontal="left"/>
    </xf>
    <xf numFmtId="0" fontId="6" fillId="0" borderId="1" xfId="2" applyBorder="1"/>
    <xf numFmtId="0" fontId="6" fillId="0" borderId="1" xfId="2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">
    <cellStyle name="Accent1" xfId="1" xr:uid="{00000000-0005-0000-0000-000001000000}"/>
    <cellStyle name="Currency" xfId="3" xr:uid="{00000000-0005-0000-0000-000003000000}"/>
    <cellStyle name="Hyperlink" xfId="2" xr:uid="{00000000-0005-0000-0000-000002000000}"/>
    <cellStyle name="Normal" xfId="0" builtinId="0"/>
  </cellStyles>
  <dxfs count="1">
    <dxf>
      <alignment horizontal="left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 sz="140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Monthly Job Applications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1"/>
          <c:cat>
            <c:numRef>
              <c:f>Dashboard!$G$7:$G$18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Dashboard!$H$7:$H$18</c:f>
              <c:numCache>
                <c:formatCode>General</c:formatCode>
                <c:ptCount val="12"/>
                <c:pt idx="0">
                  <c:v>60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D3-4E49-8291-307AD9E8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="ctr" anchorCtr="1"/>
          <a:lstStyle/>
          <a:p>
            <a:pPr>
              <a:defRPr sz="90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Count</c:v>
                </c:pt>
              </c:strCache>
            </c:strRef>
          </c:tx>
          <c:spPr>
            <a:ln/>
          </c:spPr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768-AC48-BD11-4CBAD3EABE1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68-AC48-BD11-4CBAD3EABE1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68-AC48-BD11-4CBAD3EABE1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768-AC48-BD11-4CBAD3EABE1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768-AC48-BD11-4CBAD3EABE1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/>
              </a:gra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768-AC48-BD11-4CBAD3EABE17}"/>
              </c:ext>
            </c:extLst>
          </c:dPt>
          <c:cat>
            <c:strRef>
              <c:f>Dashboard!$A$7:$A$12</c:f>
              <c:strCache>
                <c:ptCount val="6"/>
                <c:pt idx="0">
                  <c:v>Applied</c:v>
                </c:pt>
                <c:pt idx="1">
                  <c:v>Interview</c:v>
                </c:pt>
                <c:pt idx="2">
                  <c:v>Offer</c:v>
                </c:pt>
                <c:pt idx="3">
                  <c:v>Rejected</c:v>
                </c:pt>
                <c:pt idx="4">
                  <c:v>No Response</c:v>
                </c:pt>
                <c:pt idx="5">
                  <c:v>Withdrawn</c:v>
                </c:pt>
              </c:strCache>
            </c:strRef>
          </c:cat>
          <c:val>
            <c:numRef>
              <c:f>Dashboard!$B$7:$B$12</c:f>
              <c:numCache>
                <c:formatCode>General</c:formatCode>
                <c:ptCount val="6"/>
                <c:pt idx="0">
                  <c:v>75</c:v>
                </c:pt>
                <c:pt idx="1">
                  <c:v>2</c:v>
                </c:pt>
                <c:pt idx="2">
                  <c:v>0</c:v>
                </c:pt>
                <c:pt idx="3">
                  <c:v>21</c:v>
                </c:pt>
                <c:pt idx="4">
                  <c:v>42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68-AC48-BD11-4CBAD3EA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4</xdr:row>
      <xdr:rowOff>165100</xdr:rowOff>
    </xdr:from>
    <xdr:to>
      <xdr:col>15</xdr:col>
      <xdr:colOff>76200</xdr:colOff>
      <xdr:row>18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184150</xdr:colOff>
      <xdr:row>19</xdr:row>
      <xdr:rowOff>139700</xdr:rowOff>
    </xdr:from>
    <xdr:to>
      <xdr:col>12</xdr:col>
      <xdr:colOff>82550</xdr:colOff>
      <xdr:row>34</xdr:row>
      <xdr:rowOff>25400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licationsTable" displayName="ApplicationsTable" ref="A1:L500">
  <autoFilter ref="A1:L500" xr:uid="{00000000-0009-0000-0100-000001000000}">
    <filterColumn colId="5">
      <filters>
        <filter val="No response"/>
      </filters>
    </filterColumn>
    <filterColumn colId="7">
      <filters>
        <filter val="26/01/2026"/>
        <filter val="27/01/2026"/>
        <filter val="28/01/2026"/>
        <filter val="29/01/2026"/>
      </filters>
    </filterColumn>
  </autoFilter>
  <sortState xmlns:xlrd2="http://schemas.microsoft.com/office/spreadsheetml/2017/richdata2" ref="A2:L500">
    <sortCondition ref="A1:A500"/>
  </sortState>
  <tableColumns count="12">
    <tableColumn id="1" xr3:uid="{00000000-0010-0000-0000-000001000000}" name="Job Title"/>
    <tableColumn id="2" xr3:uid="{00000000-0010-0000-0000-000002000000}" name="Company Name"/>
    <tableColumn id="3" xr3:uid="{00000000-0010-0000-0000-000003000000}" name="Link"/>
    <tableColumn id="4" xr3:uid="{00000000-0010-0000-0000-000004000000}" name="Location"/>
    <tableColumn id="5" xr3:uid="{00000000-0010-0000-0000-000005000000}" name="Current Status"/>
    <tableColumn id="6" xr3:uid="{00000000-0010-0000-0000-000006000000}" name="Response Status"/>
    <tableColumn id="13" xr3:uid="{8FB95C0B-76F9-2545-9C9F-EA2EA45D1332}" name="Follow Ups" dataDxfId="0"/>
    <tableColumn id="7" xr3:uid="{00000000-0010-0000-0000-000007000000}" name="Date Applied"/>
    <tableColumn id="8" xr3:uid="{00000000-0010-0000-0000-000008000000}" name="Week Start (Mon)"/>
    <tableColumn id="9" xr3:uid="{00000000-0010-0000-0000-000009000000}" name="Month Start"/>
    <tableColumn id="10" xr3:uid="{00000000-0010-0000-0000-00000A000000}" name="Notes"/>
    <tableColumn id="11" xr3:uid="{00000000-0010-0000-0000-00000B000000}" name="Follow-Up D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eers.snowflake.com/us/en/job/SNCOUSDDEB79027A40473CB54460CE107B8EE3EXTERNALENUS9AA5AC83C68E4AF481CB536EC03B9CFA/Software-Engineer-Native-Apps" TargetMode="External"/><Relationship Id="rId13" Type="http://schemas.openxmlformats.org/officeDocument/2006/relationships/hyperlink" Target="https://recruiting.calgary.ca/psc/hcm/EMPLOYEE/HRMS/c/HRS_HRAM_FL.HRS_CG_SEARCH_FL.GBL?Page=HRS_APP_SCHJOB_FL&amp;Action=U&amp;" TargetMode="External"/><Relationship Id="rId18" Type="http://schemas.openxmlformats.org/officeDocument/2006/relationships/hyperlink" Target="https://jobs.smartrecruiters.com/Sutherland/744000108239849-technical-support-representatives?jr_id=698a56ff0f6f7e7a2ce57102" TargetMode="External"/><Relationship Id="rId3" Type="http://schemas.openxmlformats.org/officeDocument/2006/relationships/hyperlink" Target="https://www.jobbank.gc.ca/jobsearch/favourites/jobposting/48157969" TargetMode="External"/><Relationship Id="rId7" Type="http://schemas.openxmlformats.org/officeDocument/2006/relationships/hyperlink" Target="https://clio.wd3.myworkdayjobs.com/en-US/ClioCareerSite/job/Toronto/Workflow-Consultant_BF-REQ-4086-1?source=LinkedIn" TargetMode="External"/><Relationship Id="rId12" Type="http://schemas.openxmlformats.org/officeDocument/2006/relationships/hyperlink" Target="https://amazon.jobs/en/jobs/3048857/area-manager-2026-canada-recent-and-upcoming-graduates-jan1" TargetMode="External"/><Relationship Id="rId17" Type="http://schemas.openxmlformats.org/officeDocument/2006/relationships/hyperlink" Target="https://www.linkedin.com/jobs/view/4371001225" TargetMode="External"/><Relationship Id="rId2" Type="http://schemas.openxmlformats.org/officeDocument/2006/relationships/hyperlink" Target="https://jobs.nutrien.com/North-America/job/Penhold-Operations-Lead-AB-T0M-1R0/599263517/" TargetMode="External"/><Relationship Id="rId16" Type="http://schemas.openxmlformats.org/officeDocument/2006/relationships/hyperlink" Target="https://rbc.wd3.myworkdayjobs.com/en-US/RBCGLOBAL1/job/Technical-Systems-Analyst_R-0000155207-1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orkforcenow.adp.com/mascsr/default/mdf/recruitment/recruitment.html?cid=38cbb708-0ab7-441d-b4a6-32a4800bf98c&amp;ccId=19000101_000001&amp;lang=en_CA&amp;jobId=523850" TargetMode="External"/><Relationship Id="rId6" Type="http://schemas.openxmlformats.org/officeDocument/2006/relationships/hyperlink" Target="https://www.jobbank.gc.ca/jobsearch/jobposting/48407632?source=searchresults" TargetMode="External"/><Relationship Id="rId11" Type="http://schemas.openxmlformats.org/officeDocument/2006/relationships/hyperlink" Target="https://www.jobbank.gc.ca/jobsearch/favourites/jobposting/48893995" TargetMode="External"/><Relationship Id="rId5" Type="http://schemas.openxmlformats.org/officeDocument/2006/relationships/hyperlink" Target="https://tractionrec.bamboohr.com/careers/138" TargetMode="External"/><Relationship Id="rId15" Type="http://schemas.openxmlformats.org/officeDocument/2006/relationships/hyperlink" Target="https://www.linkedin.com/jobs/view/4367048077/" TargetMode="External"/><Relationship Id="rId10" Type="http://schemas.openxmlformats.org/officeDocument/2006/relationships/hyperlink" Target="https://careers.ibm.com/en_US/careers/JobDetail?jobId=82185" TargetMode="External"/><Relationship Id="rId19" Type="http://schemas.openxmlformats.org/officeDocument/2006/relationships/hyperlink" Target="https://jobs.rbc.com/ca/en/apply?jobSeqNo=RBCAA0088R0000155207EXTERNALENCA&amp;utm_source=jobright&amp;utm_medium=phenom-feeds&amp;utm_campaign=jobright&amp;step=1&amp;stepname=personalInformation" TargetMode="External"/><Relationship Id="rId4" Type="http://schemas.openxmlformats.org/officeDocument/2006/relationships/hyperlink" Target="https://phh.tbe.taleo.net/phh01/ats/careers/v2/viewRequisition?org=GRANTTHORNTON&amp;cws=56&amp;rid=11587&amp;source=Indeed" TargetMode="External"/><Relationship Id="rId9" Type="http://schemas.openxmlformats.org/officeDocument/2006/relationships/hyperlink" Target="https://www.databricks.com/company/careers/university-recruiting/software-engineer---new-grad-2026-start-6866542002" TargetMode="External"/><Relationship Id="rId14" Type="http://schemas.openxmlformats.org/officeDocument/2006/relationships/hyperlink" Target="https://career5.successfactors.eu/career?career_ns=job_listing&amp;company=WelthungerP&amp;career_job_req_id=13922&amp;selected_lang=en_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5"/>
  <sheetViews>
    <sheetView showGridLines="0" tabSelected="1" workbookViewId="0">
      <selection activeCell="B25" sqref="B25"/>
    </sheetView>
  </sheetViews>
  <sheetFormatPr defaultColWidth="8.875" defaultRowHeight="15" x14ac:dyDescent="0.2"/>
  <cols>
    <col min="1" max="1" width="26.6328125" style="12" bestFit="1" customWidth="1"/>
    <col min="2" max="2" width="16.8125" style="12" customWidth="1"/>
    <col min="3" max="3" width="163.71484375" style="12" hidden="1" customWidth="1"/>
    <col min="4" max="4" width="10.4921875" style="12" customWidth="1"/>
    <col min="5" max="5" width="15.33203125" style="12" customWidth="1"/>
    <col min="6" max="7" width="17.21875" style="12" customWidth="1"/>
    <col min="8" max="8" width="14.390625" style="12" customWidth="1"/>
    <col min="9" max="9" width="18.5625" style="16" hidden="1" customWidth="1"/>
    <col min="10" max="10" width="13.44921875" style="12" hidden="1" customWidth="1"/>
    <col min="11" max="11" width="10.4921875" style="12" bestFit="1" customWidth="1"/>
    <col min="12" max="12" width="16.6796875" style="16" customWidth="1"/>
    <col min="13" max="13" width="8.875" style="12" customWidth="1"/>
    <col min="14" max="16384" width="8.875" style="12"/>
  </cols>
  <sheetData>
    <row r="1" spans="1:12" s="13" customFormat="1" ht="27.9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250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</row>
    <row r="2" spans="1:12" customFormat="1" ht="17.100000000000001" customHeight="1" x14ac:dyDescent="0.2">
      <c r="A2" s="24" t="s">
        <v>155</v>
      </c>
      <c r="B2" s="24" t="s">
        <v>153</v>
      </c>
      <c r="C2" s="26" t="s">
        <v>156</v>
      </c>
      <c r="D2" s="30" t="s">
        <v>24</v>
      </c>
      <c r="E2" s="24" t="s">
        <v>15</v>
      </c>
      <c r="F2" s="2" t="s">
        <v>16</v>
      </c>
      <c r="G2" s="2" t="s">
        <v>251</v>
      </c>
      <c r="H2" s="10">
        <v>46049</v>
      </c>
      <c r="I2" s="10">
        <f>IF($H2="","",$H2-WEEKDAY($H2,2)+1)</f>
        <v>46048</v>
      </c>
      <c r="J2" s="10">
        <f>IF($H2="","",DATE(YEAR($H2),MONTH($H2),1))</f>
        <v>46023</v>
      </c>
      <c r="K2" s="2"/>
      <c r="L2" s="10"/>
    </row>
    <row r="3" spans="1:12" customFormat="1" ht="15.95" hidden="1" customHeight="1" x14ac:dyDescent="0.2">
      <c r="A3" s="12" t="s">
        <v>17</v>
      </c>
      <c r="B3" s="12" t="s">
        <v>12</v>
      </c>
      <c r="C3" s="14" t="s">
        <v>18</v>
      </c>
      <c r="D3" s="12" t="s">
        <v>19</v>
      </c>
      <c r="E3" s="12" t="s">
        <v>15</v>
      </c>
      <c r="F3" s="2" t="s">
        <v>20</v>
      </c>
      <c r="G3" s="2" t="s">
        <v>251</v>
      </c>
      <c r="H3" s="10">
        <v>46027</v>
      </c>
      <c r="I3" s="10">
        <f>IF($H3="","",$H3-WEEKDAY($H3,2)+1)</f>
        <v>46027</v>
      </c>
      <c r="J3" s="10">
        <f>IF($H3="","",DATE(YEAR($H3),MONTH($H3),1))</f>
        <v>46023</v>
      </c>
      <c r="K3" s="2"/>
      <c r="L3" s="10"/>
    </row>
    <row r="4" spans="1:12" customFormat="1" ht="63.95" customHeight="1" x14ac:dyDescent="0.2">
      <c r="A4" s="24" t="s">
        <v>145</v>
      </c>
      <c r="B4" s="24" t="s">
        <v>146</v>
      </c>
      <c r="C4" s="26" t="s">
        <v>147</v>
      </c>
      <c r="D4" s="30" t="s">
        <v>148</v>
      </c>
      <c r="E4" s="24" t="s">
        <v>15</v>
      </c>
      <c r="F4" s="2" t="s">
        <v>16</v>
      </c>
      <c r="G4" s="2" t="s">
        <v>251</v>
      </c>
      <c r="H4" s="10">
        <v>46048</v>
      </c>
      <c r="I4" s="10">
        <f>IF($H4="","",$H4-WEEKDAY($H4,2)+1)</f>
        <v>46048</v>
      </c>
      <c r="J4" s="10">
        <f>IF($H4="","",DATE(YEAR($H4),MONTH($H4),1))</f>
        <v>46023</v>
      </c>
      <c r="K4" s="2"/>
      <c r="L4" s="10"/>
    </row>
    <row r="5" spans="1:12" customFormat="1" ht="15.95" hidden="1" customHeight="1" x14ac:dyDescent="0.2">
      <c r="A5" s="24" t="s">
        <v>40</v>
      </c>
      <c r="B5" s="24" t="s">
        <v>41</v>
      </c>
      <c r="C5" s="26" t="s">
        <v>42</v>
      </c>
      <c r="D5" s="24" t="s">
        <v>24</v>
      </c>
      <c r="E5" s="24" t="s">
        <v>15</v>
      </c>
      <c r="F5" s="2" t="s">
        <v>16</v>
      </c>
      <c r="G5" s="2" t="s">
        <v>252</v>
      </c>
      <c r="H5" s="10">
        <v>46028</v>
      </c>
      <c r="I5" s="10">
        <f>IF($H5="","",$H5-WEEKDAY($H5,2)+1)</f>
        <v>46027</v>
      </c>
      <c r="J5" s="10">
        <f>IF($H5="","",DATE(YEAR($H5),MONTH($H5),1))</f>
        <v>46023</v>
      </c>
      <c r="K5" s="2" t="s">
        <v>43</v>
      </c>
      <c r="L5" s="10">
        <v>46041</v>
      </c>
    </row>
    <row r="6" spans="1:12" customFormat="1" ht="15.95" hidden="1" customHeight="1" x14ac:dyDescent="0.2">
      <c r="A6" s="24" t="s">
        <v>57</v>
      </c>
      <c r="B6" s="24" t="s">
        <v>58</v>
      </c>
      <c r="C6" s="26" t="s">
        <v>59</v>
      </c>
      <c r="D6" s="24" t="s">
        <v>14</v>
      </c>
      <c r="E6" s="24" t="s">
        <v>15</v>
      </c>
      <c r="F6" s="2" t="s">
        <v>16</v>
      </c>
      <c r="G6" s="2" t="s">
        <v>251</v>
      </c>
      <c r="H6" s="10">
        <v>46034</v>
      </c>
      <c r="I6" s="10">
        <f>IF($H6="","",$H6-WEEKDAY($H6,2)+1)</f>
        <v>46034</v>
      </c>
      <c r="J6" s="10">
        <f>IF($H6="","",DATE(YEAR($H6),MONTH($H6),1))</f>
        <v>46023</v>
      </c>
      <c r="K6" s="2"/>
      <c r="L6" s="10"/>
    </row>
    <row r="7" spans="1:12" customFormat="1" ht="15.95" hidden="1" customHeight="1" x14ac:dyDescent="0.2">
      <c r="A7" s="24" t="s">
        <v>111</v>
      </c>
      <c r="B7" s="24" t="s">
        <v>33</v>
      </c>
      <c r="C7" s="26" t="s">
        <v>112</v>
      </c>
      <c r="D7" s="24" t="s">
        <v>24</v>
      </c>
      <c r="E7" s="24" t="s">
        <v>15</v>
      </c>
      <c r="F7" s="2" t="s">
        <v>16</v>
      </c>
      <c r="G7" s="2" t="s">
        <v>251</v>
      </c>
      <c r="H7" s="10">
        <v>46042</v>
      </c>
      <c r="I7" s="10">
        <f>IF($H7="","",$H7-WEEKDAY($H7,2)+1)</f>
        <v>46041</v>
      </c>
      <c r="J7" s="10">
        <f>IF($H7="","",DATE(YEAR($H7),MONTH($H7),1))</f>
        <v>46023</v>
      </c>
      <c r="K7" s="2"/>
      <c r="L7" s="10"/>
    </row>
    <row r="8" spans="1:12" customFormat="1" ht="15.95" hidden="1" customHeight="1" x14ac:dyDescent="0.2">
      <c r="A8" s="2" t="s">
        <v>133</v>
      </c>
      <c r="B8" s="2" t="s">
        <v>134</v>
      </c>
      <c r="C8" s="9" t="s">
        <v>135</v>
      </c>
      <c r="D8" s="2" t="s">
        <v>24</v>
      </c>
      <c r="E8" s="2" t="s">
        <v>15</v>
      </c>
      <c r="F8" s="2" t="s">
        <v>16</v>
      </c>
      <c r="G8" s="2" t="s">
        <v>251</v>
      </c>
      <c r="H8" s="10">
        <v>46044</v>
      </c>
      <c r="I8" s="10">
        <f>IF($H8="","",$H8-WEEKDAY($H8,2)+1)</f>
        <v>46041</v>
      </c>
      <c r="J8" s="10">
        <f>IF($H8="","",DATE(YEAR($H8),MONTH($H8),1))</f>
        <v>46023</v>
      </c>
      <c r="K8" s="2"/>
      <c r="L8" s="10"/>
    </row>
    <row r="9" spans="1:12" customFormat="1" ht="63.95" hidden="1" customHeight="1" x14ac:dyDescent="0.2">
      <c r="A9" s="2" t="s">
        <v>122</v>
      </c>
      <c r="B9" s="2" t="s">
        <v>123</v>
      </c>
      <c r="C9" s="9" t="s">
        <v>124</v>
      </c>
      <c r="D9" s="2" t="s">
        <v>24</v>
      </c>
      <c r="E9" s="2" t="s">
        <v>15</v>
      </c>
      <c r="F9" s="2" t="s">
        <v>16</v>
      </c>
      <c r="G9" s="2" t="s">
        <v>251</v>
      </c>
      <c r="H9" s="10">
        <v>46044</v>
      </c>
      <c r="I9" s="10">
        <f>IF($H9="","",$H9-WEEKDAY($H9,2)+1)</f>
        <v>46041</v>
      </c>
      <c r="J9" s="10">
        <f>IF($H9="","",DATE(YEAR($H9),MONTH($H9),1))</f>
        <v>46023</v>
      </c>
      <c r="K9" s="2"/>
      <c r="L9" s="10"/>
    </row>
    <row r="10" spans="1:12" customFormat="1" ht="15.95" hidden="1" customHeight="1" x14ac:dyDescent="0.2">
      <c r="A10" s="2" t="s">
        <v>96</v>
      </c>
      <c r="B10" s="2" t="s">
        <v>88</v>
      </c>
      <c r="C10" s="9" t="s">
        <v>97</v>
      </c>
      <c r="D10" s="2" t="s">
        <v>24</v>
      </c>
      <c r="E10" s="2" t="s">
        <v>15</v>
      </c>
      <c r="F10" s="2" t="s">
        <v>16</v>
      </c>
      <c r="G10" s="2" t="s">
        <v>251</v>
      </c>
      <c r="H10" s="10">
        <v>46041</v>
      </c>
      <c r="I10" s="10">
        <f>IF($H10="","",$H10-WEEKDAY($H10,2)+1)</f>
        <v>46041</v>
      </c>
      <c r="J10" s="10">
        <f>IF($H10="","",DATE(YEAR($H10),MONTH($H10),1))</f>
        <v>46023</v>
      </c>
      <c r="K10" s="2"/>
      <c r="L10" s="10"/>
    </row>
    <row r="11" spans="1:12" customFormat="1" ht="63.95" hidden="1" customHeight="1" x14ac:dyDescent="0.2">
      <c r="A11" s="2" t="s">
        <v>84</v>
      </c>
      <c r="B11" s="2" t="s">
        <v>85</v>
      </c>
      <c r="C11" s="9" t="s">
        <v>86</v>
      </c>
      <c r="D11" s="2" t="s">
        <v>24</v>
      </c>
      <c r="E11" s="31" t="s">
        <v>15</v>
      </c>
      <c r="F11" s="2" t="s">
        <v>16</v>
      </c>
      <c r="G11" s="2" t="s">
        <v>251</v>
      </c>
      <c r="H11" s="10">
        <v>46038</v>
      </c>
      <c r="I11" s="10">
        <f>IF($H11="","",$H11-WEEKDAY($H11,2)+1)</f>
        <v>46034</v>
      </c>
      <c r="J11" s="10">
        <f>IF($H11="","",DATE(YEAR($H11),MONTH($H11),1))</f>
        <v>46023</v>
      </c>
      <c r="K11" s="2"/>
      <c r="L11" s="10"/>
    </row>
    <row r="12" spans="1:12" customFormat="1" ht="32.1" customHeight="1" x14ac:dyDescent="0.2">
      <c r="A12" s="2" t="s">
        <v>152</v>
      </c>
      <c r="B12" s="2" t="s">
        <v>153</v>
      </c>
      <c r="C12" s="9" t="s">
        <v>154</v>
      </c>
      <c r="D12" s="10" t="s">
        <v>24</v>
      </c>
      <c r="E12" s="2" t="s">
        <v>15</v>
      </c>
      <c r="F12" s="2" t="s">
        <v>16</v>
      </c>
      <c r="G12" s="2" t="s">
        <v>251</v>
      </c>
      <c r="H12" s="10">
        <v>46048</v>
      </c>
      <c r="I12" s="10">
        <f>IF($H12="","",$H12-WEEKDAY($H12,2)+1)</f>
        <v>46048</v>
      </c>
      <c r="J12" s="10">
        <f>IF($H12="","",DATE(YEAR($H12),MONTH($H12),1))</f>
        <v>46023</v>
      </c>
      <c r="K12" s="2"/>
      <c r="L12" s="10"/>
    </row>
    <row r="13" spans="1:12" customFormat="1" ht="48" hidden="1" customHeight="1" x14ac:dyDescent="0.2">
      <c r="A13" s="25" t="s">
        <v>30</v>
      </c>
      <c r="B13" s="25" t="s">
        <v>22</v>
      </c>
      <c r="C13" s="27" t="s">
        <v>31</v>
      </c>
      <c r="D13" s="25" t="s">
        <v>24</v>
      </c>
      <c r="E13" s="25" t="s">
        <v>15</v>
      </c>
      <c r="F13" s="2" t="s">
        <v>16</v>
      </c>
      <c r="G13" s="2" t="s">
        <v>251</v>
      </c>
      <c r="H13" s="10">
        <v>46027</v>
      </c>
      <c r="I13" s="10">
        <f>IF($H13="","",$H13-WEEKDAY($H13,2)+1)</f>
        <v>46027</v>
      </c>
      <c r="J13" s="10">
        <f>IF($H13="","",DATE(YEAR($H13),MONTH($H13),1))</f>
        <v>46023</v>
      </c>
      <c r="K13" s="2"/>
      <c r="L13" s="10"/>
    </row>
    <row r="14" spans="1:12" customFormat="1" ht="48" hidden="1" customHeight="1" x14ac:dyDescent="0.2">
      <c r="A14" s="2" t="s">
        <v>50</v>
      </c>
      <c r="B14" s="2" t="s">
        <v>51</v>
      </c>
      <c r="C14" s="9" t="s">
        <v>52</v>
      </c>
      <c r="D14" s="2" t="s">
        <v>24</v>
      </c>
      <c r="E14" s="2" t="s">
        <v>15</v>
      </c>
      <c r="F14" s="2" t="s">
        <v>20</v>
      </c>
      <c r="G14" s="2" t="s">
        <v>251</v>
      </c>
      <c r="H14" s="10">
        <v>46028</v>
      </c>
      <c r="I14" s="10">
        <f>IF($H14="","",$H14-WEEKDAY($H14,2)+1)</f>
        <v>46027</v>
      </c>
      <c r="J14" s="10">
        <f>IF($H14="","",DATE(YEAR($H14),MONTH($H14),1))</f>
        <v>46023</v>
      </c>
      <c r="K14" s="2"/>
      <c r="L14" s="10"/>
    </row>
    <row r="15" spans="1:12" customFormat="1" ht="111.95" hidden="1" customHeight="1" x14ac:dyDescent="0.2">
      <c r="A15" s="25" t="s">
        <v>28</v>
      </c>
      <c r="B15" s="25" t="s">
        <v>22</v>
      </c>
      <c r="C15" s="27" t="s">
        <v>29</v>
      </c>
      <c r="D15" s="25" t="s">
        <v>24</v>
      </c>
      <c r="E15" s="25" t="s">
        <v>15</v>
      </c>
      <c r="F15" s="2" t="s">
        <v>16</v>
      </c>
      <c r="G15" s="2" t="s">
        <v>251</v>
      </c>
      <c r="H15" s="10">
        <v>46027</v>
      </c>
      <c r="I15" s="10">
        <f>IF($H15="","",$H15-WEEKDAY($H15,2)+1)</f>
        <v>46027</v>
      </c>
      <c r="J15" s="10">
        <f>IF($H15="","",DATE(YEAR($H15),MONTH($H15),1))</f>
        <v>46023</v>
      </c>
      <c r="K15" s="2"/>
      <c r="L15" s="10"/>
    </row>
    <row r="16" spans="1:12" customFormat="1" ht="32.1" customHeight="1" x14ac:dyDescent="0.2">
      <c r="A16" s="2" t="s">
        <v>212</v>
      </c>
      <c r="B16" s="2" t="s">
        <v>199</v>
      </c>
      <c r="C16" s="29" t="s">
        <v>200</v>
      </c>
      <c r="D16" s="10" t="s">
        <v>24</v>
      </c>
      <c r="E16" s="2" t="s">
        <v>15</v>
      </c>
      <c r="F16" s="2" t="s">
        <v>16</v>
      </c>
      <c r="G16" s="2" t="s">
        <v>252</v>
      </c>
      <c r="H16" s="10">
        <v>46050</v>
      </c>
      <c r="I16" s="10">
        <f>IF($H16="","",$H16-WEEKDAY($H16,2)+1)</f>
        <v>46048</v>
      </c>
      <c r="J16" s="10">
        <f>IF($H16="","",DATE(YEAR($H16),MONTH($H16),1))</f>
        <v>46023</v>
      </c>
      <c r="K16" s="2" t="s">
        <v>255</v>
      </c>
      <c r="L16" s="10">
        <v>46063</v>
      </c>
    </row>
    <row r="17" spans="1:12" customFormat="1" ht="48" hidden="1" customHeight="1" x14ac:dyDescent="0.2">
      <c r="A17" s="2" t="s">
        <v>47</v>
      </c>
      <c r="B17" s="2" t="s">
        <v>48</v>
      </c>
      <c r="C17" s="9" t="s">
        <v>49</v>
      </c>
      <c r="D17" s="2" t="s">
        <v>24</v>
      </c>
      <c r="E17" s="2" t="s">
        <v>15</v>
      </c>
      <c r="F17" s="2" t="s">
        <v>16</v>
      </c>
      <c r="G17" s="2" t="s">
        <v>251</v>
      </c>
      <c r="H17" s="10">
        <v>46028</v>
      </c>
      <c r="I17" s="10">
        <f>IF($H17="","",$H17-WEEKDAY($H17,2)+1)</f>
        <v>46027</v>
      </c>
      <c r="J17" s="10">
        <f>IF($H17="","",DATE(YEAR($H17),MONTH($H17),1))</f>
        <v>46023</v>
      </c>
      <c r="K17" s="2"/>
      <c r="L17" s="10"/>
    </row>
    <row r="18" spans="1:12" customFormat="1" ht="15.95" hidden="1" customHeight="1" x14ac:dyDescent="0.2">
      <c r="A18" s="2" t="s">
        <v>63</v>
      </c>
      <c r="B18" s="2" t="s">
        <v>64</v>
      </c>
      <c r="C18" s="9" t="s">
        <v>65</v>
      </c>
      <c r="D18" s="2" t="s">
        <v>14</v>
      </c>
      <c r="E18" s="2" t="s">
        <v>15</v>
      </c>
      <c r="F18" s="2" t="s">
        <v>20</v>
      </c>
      <c r="G18" s="2" t="s">
        <v>251</v>
      </c>
      <c r="H18" s="10">
        <v>46034</v>
      </c>
      <c r="I18" s="10">
        <f>IF($H18="","",$H18-WEEKDAY($H18,2)+1)</f>
        <v>46034</v>
      </c>
      <c r="J18" s="10">
        <f>IF($H18="","",DATE(YEAR($H18),MONTH($H18),1))</f>
        <v>46023</v>
      </c>
      <c r="K18" s="2"/>
      <c r="L18" s="10"/>
    </row>
    <row r="19" spans="1:12" customFormat="1" ht="32.1" hidden="1" customHeight="1" x14ac:dyDescent="0.2">
      <c r="A19" s="2" t="s">
        <v>66</v>
      </c>
      <c r="B19" s="2" t="s">
        <v>51</v>
      </c>
      <c r="C19" s="9" t="s">
        <v>67</v>
      </c>
      <c r="D19" s="2" t="s">
        <v>24</v>
      </c>
      <c r="E19" s="2" t="s">
        <v>15</v>
      </c>
      <c r="F19" s="2" t="s">
        <v>20</v>
      </c>
      <c r="G19" s="2" t="s">
        <v>251</v>
      </c>
      <c r="H19" s="10">
        <v>46037</v>
      </c>
      <c r="I19" s="10">
        <f>IF($H19="","",$H19-WEEKDAY($H19,2)+1)</f>
        <v>46034</v>
      </c>
      <c r="J19" s="10">
        <f>IF($H19="","",DATE(YEAR($H19),MONTH($H19),1))</f>
        <v>46023</v>
      </c>
      <c r="K19" s="2"/>
      <c r="L19" s="10"/>
    </row>
    <row r="20" spans="1:12" customFormat="1" ht="32.1" hidden="1" customHeight="1" x14ac:dyDescent="0.2">
      <c r="A20" s="2" t="s">
        <v>68</v>
      </c>
      <c r="B20" s="2" t="s">
        <v>51</v>
      </c>
      <c r="C20" s="9" t="s">
        <v>69</v>
      </c>
      <c r="D20" s="2" t="s">
        <v>24</v>
      </c>
      <c r="E20" s="2" t="s">
        <v>15</v>
      </c>
      <c r="F20" s="2" t="s">
        <v>20</v>
      </c>
      <c r="G20" s="2" t="s">
        <v>251</v>
      </c>
      <c r="H20" s="10">
        <v>46037</v>
      </c>
      <c r="I20" s="10">
        <f>IF($H20="","",$H20-WEEKDAY($H20,2)+1)</f>
        <v>46034</v>
      </c>
      <c r="J20" s="10">
        <f>IF($H20="","",DATE(YEAR($H20),MONTH($H20),1))</f>
        <v>46023</v>
      </c>
      <c r="K20" s="2"/>
      <c r="L20" s="10"/>
    </row>
    <row r="21" spans="1:12" customFormat="1" ht="32.1" hidden="1" customHeight="1" x14ac:dyDescent="0.2">
      <c r="A21" s="2" t="s">
        <v>70</v>
      </c>
      <c r="B21" s="2" t="s">
        <v>71</v>
      </c>
      <c r="C21" s="9" t="s">
        <v>72</v>
      </c>
      <c r="D21" s="2" t="s">
        <v>24</v>
      </c>
      <c r="E21" s="2" t="s">
        <v>15</v>
      </c>
      <c r="F21" s="2" t="s">
        <v>20</v>
      </c>
      <c r="G21" s="2" t="s">
        <v>251</v>
      </c>
      <c r="H21" s="10">
        <v>46038</v>
      </c>
      <c r="I21" s="10">
        <f>IF($H21="","",$H21-WEEKDAY($H21,2)+1)</f>
        <v>46034</v>
      </c>
      <c r="J21" s="10">
        <f>IF($H21="","",DATE(YEAR($H21),MONTH($H21),1))</f>
        <v>46023</v>
      </c>
      <c r="K21" s="2"/>
      <c r="L21" s="10"/>
    </row>
    <row r="22" spans="1:12" customFormat="1" ht="128.1" hidden="1" customHeight="1" x14ac:dyDescent="0.2">
      <c r="A22" s="2" t="s">
        <v>130</v>
      </c>
      <c r="B22" s="2" t="s">
        <v>131</v>
      </c>
      <c r="C22" s="9" t="s">
        <v>132</v>
      </c>
      <c r="D22" s="2" t="s">
        <v>24</v>
      </c>
      <c r="E22" s="2" t="s">
        <v>15</v>
      </c>
      <c r="F22" s="2" t="s">
        <v>16</v>
      </c>
      <c r="G22" s="2" t="s">
        <v>251</v>
      </c>
      <c r="H22" s="10">
        <v>46044</v>
      </c>
      <c r="I22" s="10">
        <f>IF($H22="","",$H22-WEEKDAY($H22,2)+1)</f>
        <v>46041</v>
      </c>
      <c r="J22" s="10">
        <f>IF($H22="","",DATE(YEAR($H22),MONTH($H22),1))</f>
        <v>46023</v>
      </c>
      <c r="K22" s="2"/>
      <c r="L22" s="10"/>
    </row>
    <row r="23" spans="1:12" customFormat="1" ht="48" hidden="1" customHeight="1" x14ac:dyDescent="0.2">
      <c r="A23" s="2" t="s">
        <v>77</v>
      </c>
      <c r="B23" s="2" t="s">
        <v>78</v>
      </c>
      <c r="C23" s="9" t="s">
        <v>79</v>
      </c>
      <c r="D23" s="2" t="s">
        <v>24</v>
      </c>
      <c r="E23" s="2" t="s">
        <v>15</v>
      </c>
      <c r="F23" s="2" t="s">
        <v>20</v>
      </c>
      <c r="G23" s="2" t="s">
        <v>251</v>
      </c>
      <c r="H23" s="10">
        <v>46038</v>
      </c>
      <c r="I23" s="10">
        <f>IF($H23="","",$H23-WEEKDAY($H23,2)+1)</f>
        <v>46034</v>
      </c>
      <c r="J23" s="10">
        <f>IF($H23="","",DATE(YEAR($H23),MONTH($H23),1))</f>
        <v>46023</v>
      </c>
      <c r="K23" s="2"/>
      <c r="L23" s="10"/>
    </row>
    <row r="24" spans="1:12" customFormat="1" ht="96" hidden="1" customHeight="1" x14ac:dyDescent="0.2">
      <c r="A24" s="2" t="s">
        <v>119</v>
      </c>
      <c r="B24" s="2" t="s">
        <v>120</v>
      </c>
      <c r="C24" s="27" t="s">
        <v>121</v>
      </c>
      <c r="D24" s="2" t="s">
        <v>24</v>
      </c>
      <c r="E24" s="2" t="s">
        <v>15</v>
      </c>
      <c r="F24" s="2" t="s">
        <v>16</v>
      </c>
      <c r="G24" s="2" t="s">
        <v>251</v>
      </c>
      <c r="H24" s="10">
        <v>46042</v>
      </c>
      <c r="I24" s="10">
        <f>IF($H24="","",$H24-WEEKDAY($H24,2)+1)</f>
        <v>46041</v>
      </c>
      <c r="J24" s="10">
        <f>IF($H24="","",DATE(YEAR($H24),MONTH($H24),1))</f>
        <v>46023</v>
      </c>
      <c r="K24" s="2"/>
      <c r="L24" s="10"/>
    </row>
    <row r="25" spans="1:12" customFormat="1" ht="32.1" customHeight="1" x14ac:dyDescent="0.2">
      <c r="A25" s="2" t="s">
        <v>149</v>
      </c>
      <c r="B25" s="2" t="s">
        <v>150</v>
      </c>
      <c r="C25" s="9" t="s">
        <v>151</v>
      </c>
      <c r="D25" s="10" t="s">
        <v>24</v>
      </c>
      <c r="E25" s="24" t="s">
        <v>15</v>
      </c>
      <c r="F25" s="2" t="s">
        <v>16</v>
      </c>
      <c r="G25" s="2" t="s">
        <v>251</v>
      </c>
      <c r="H25" s="10">
        <v>46048</v>
      </c>
      <c r="I25" s="10">
        <f>IF($H25="","",$H25-WEEKDAY($H25,2)+1)</f>
        <v>46048</v>
      </c>
      <c r="J25" s="10">
        <f>IF($H25="","",DATE(YEAR($H25),MONTH($H25),1))</f>
        <v>46023</v>
      </c>
      <c r="K25" s="2"/>
      <c r="L25" s="10"/>
    </row>
    <row r="26" spans="1:12" customFormat="1" ht="15.95" hidden="1" customHeight="1" x14ac:dyDescent="0.2">
      <c r="A26" s="2" t="s">
        <v>125</v>
      </c>
      <c r="B26" s="2" t="s">
        <v>126</v>
      </c>
      <c r="C26" s="2" t="s">
        <v>127</v>
      </c>
      <c r="D26" s="2" t="s">
        <v>24</v>
      </c>
      <c r="E26" s="24" t="s">
        <v>15</v>
      </c>
      <c r="F26" s="2" t="s">
        <v>16</v>
      </c>
      <c r="G26" s="2" t="s">
        <v>251</v>
      </c>
      <c r="H26" s="10">
        <v>46044</v>
      </c>
      <c r="I26" s="10">
        <f>IF($H26="","",$H26-WEEKDAY($H26,2)+1)</f>
        <v>46041</v>
      </c>
      <c r="J26" s="10">
        <f>IF($H26="","",DATE(YEAR($H26),MONTH($H26),1))</f>
        <v>46023</v>
      </c>
      <c r="K26" s="2"/>
      <c r="L26" s="10"/>
    </row>
    <row r="27" spans="1:12" customFormat="1" ht="15.95" hidden="1" customHeight="1" x14ac:dyDescent="0.2">
      <c r="A27" s="2" t="s">
        <v>32</v>
      </c>
      <c r="B27" s="2" t="s">
        <v>33</v>
      </c>
      <c r="C27" s="9" t="s">
        <v>34</v>
      </c>
      <c r="D27" s="2" t="s">
        <v>24</v>
      </c>
      <c r="E27" s="24" t="s">
        <v>15</v>
      </c>
      <c r="F27" s="2" t="s">
        <v>16</v>
      </c>
      <c r="G27" s="2" t="s">
        <v>251</v>
      </c>
      <c r="H27" s="10">
        <v>46028</v>
      </c>
      <c r="I27" s="10">
        <f>IF($H27="","",$H27-WEEKDAY($H27,2)+1)</f>
        <v>46027</v>
      </c>
      <c r="J27" s="10">
        <f>IF($H27="","",DATE(YEAR($H27),MONTH($H27),1))</f>
        <v>46023</v>
      </c>
      <c r="K27" s="2"/>
      <c r="L27" s="10"/>
    </row>
    <row r="28" spans="1:12" customFormat="1" ht="15.95" hidden="1" customHeight="1" x14ac:dyDescent="0.2">
      <c r="A28" s="2" t="s">
        <v>100</v>
      </c>
      <c r="B28" s="2" t="s">
        <v>101</v>
      </c>
      <c r="C28" s="9" t="s">
        <v>102</v>
      </c>
      <c r="D28" s="31" t="s">
        <v>24</v>
      </c>
      <c r="E28" s="2" t="s">
        <v>15</v>
      </c>
      <c r="F28" s="2" t="s">
        <v>16</v>
      </c>
      <c r="G28" s="2" t="s">
        <v>251</v>
      </c>
      <c r="H28" s="10">
        <v>46041</v>
      </c>
      <c r="I28" s="10">
        <f>IF($H28="","",$H28-WEEKDAY($H28,2)+1)</f>
        <v>46041</v>
      </c>
      <c r="J28" s="10">
        <f>IF($H28="","",DATE(YEAR($H28),MONTH($H28),1))</f>
        <v>46023</v>
      </c>
      <c r="K28" s="2" t="s">
        <v>103</v>
      </c>
      <c r="L28" s="10"/>
    </row>
    <row r="29" spans="1:12" customFormat="1" ht="15.95" hidden="1" customHeight="1" x14ac:dyDescent="0.2">
      <c r="A29" s="2" t="s">
        <v>44</v>
      </c>
      <c r="B29" s="2" t="s">
        <v>45</v>
      </c>
      <c r="C29" s="2" t="s">
        <v>46</v>
      </c>
      <c r="D29" s="2" t="s">
        <v>24</v>
      </c>
      <c r="E29" s="2" t="s">
        <v>15</v>
      </c>
      <c r="F29" s="2" t="s">
        <v>16</v>
      </c>
      <c r="G29" s="2" t="s">
        <v>251</v>
      </c>
      <c r="H29" s="10">
        <v>46028</v>
      </c>
      <c r="I29" s="10">
        <f>IF($H29="","",$H29-WEEKDAY($H29,2)+1)</f>
        <v>46027</v>
      </c>
      <c r="J29" s="10">
        <f>IF($H29="","",DATE(YEAR($H29),MONTH($H29),1))</f>
        <v>46023</v>
      </c>
      <c r="K29" s="2"/>
      <c r="L29" s="10"/>
    </row>
    <row r="30" spans="1:12" customFormat="1" ht="48" hidden="1" customHeight="1" x14ac:dyDescent="0.2">
      <c r="A30" s="2" t="s">
        <v>98</v>
      </c>
      <c r="B30" s="2" t="s">
        <v>88</v>
      </c>
      <c r="C30" s="9" t="s">
        <v>99</v>
      </c>
      <c r="D30" s="2" t="s">
        <v>24</v>
      </c>
      <c r="E30" s="2" t="s">
        <v>15</v>
      </c>
      <c r="F30" s="2" t="s">
        <v>20</v>
      </c>
      <c r="G30" s="2" t="s">
        <v>251</v>
      </c>
      <c r="H30" s="10">
        <v>46041</v>
      </c>
      <c r="I30" s="10">
        <f>IF($H30="","",$H30-WEEKDAY($H30,2)+1)</f>
        <v>46041</v>
      </c>
      <c r="J30" s="10">
        <f>IF($H30="","",DATE(YEAR($H30),MONTH($H30),1))</f>
        <v>46023</v>
      </c>
      <c r="K30" s="2"/>
      <c r="L30" s="10"/>
    </row>
    <row r="31" spans="1:12" customFormat="1" ht="80.099999999999994" customHeight="1" x14ac:dyDescent="0.2">
      <c r="A31" s="2" t="s">
        <v>215</v>
      </c>
      <c r="B31" s="2" t="s">
        <v>214</v>
      </c>
      <c r="C31" s="28" t="s">
        <v>213</v>
      </c>
      <c r="D31" s="30" t="s">
        <v>24</v>
      </c>
      <c r="E31" s="2" t="s">
        <v>15</v>
      </c>
      <c r="F31" s="2" t="s">
        <v>16</v>
      </c>
      <c r="G31" s="2" t="s">
        <v>251</v>
      </c>
      <c r="H31" s="10">
        <v>46051</v>
      </c>
      <c r="I31" s="10">
        <f>IF($H31="","",$H31-WEEKDAY($H31,2)+1)</f>
        <v>46048</v>
      </c>
      <c r="J31" s="10">
        <f>IF($H31="","",DATE(YEAR($H31),MONTH($H31),1))</f>
        <v>46023</v>
      </c>
      <c r="K31" s="2"/>
      <c r="L31" s="10"/>
    </row>
    <row r="32" spans="1:12" customFormat="1" ht="63.95" hidden="1" customHeight="1" x14ac:dyDescent="0.2">
      <c r="A32" s="2" t="s">
        <v>104</v>
      </c>
      <c r="B32" s="2" t="s">
        <v>105</v>
      </c>
      <c r="C32" s="9" t="s">
        <v>106</v>
      </c>
      <c r="D32" s="2" t="s">
        <v>24</v>
      </c>
      <c r="E32" s="2" t="s">
        <v>15</v>
      </c>
      <c r="F32" s="2" t="s">
        <v>20</v>
      </c>
      <c r="G32" s="2" t="s">
        <v>251</v>
      </c>
      <c r="H32" s="10">
        <v>46042</v>
      </c>
      <c r="I32" s="10">
        <f>IF($H32="","",$H32-WEEKDAY($H32,2)+1)</f>
        <v>46041</v>
      </c>
      <c r="J32" s="10">
        <f>IF($H32="","",DATE(YEAR($H32),MONTH($H32),1))</f>
        <v>46023</v>
      </c>
      <c r="K32" s="2"/>
      <c r="L32" s="10"/>
    </row>
    <row r="33" spans="1:12" customFormat="1" ht="63.95" hidden="1" customHeight="1" x14ac:dyDescent="0.2">
      <c r="A33" s="2" t="s">
        <v>107</v>
      </c>
      <c r="B33" s="2" t="s">
        <v>105</v>
      </c>
      <c r="C33" s="9" t="s">
        <v>108</v>
      </c>
      <c r="D33" s="2" t="s">
        <v>24</v>
      </c>
      <c r="E33" s="2" t="s">
        <v>15</v>
      </c>
      <c r="F33" s="2" t="s">
        <v>20</v>
      </c>
      <c r="G33" s="2" t="s">
        <v>251</v>
      </c>
      <c r="H33" s="10">
        <v>46042</v>
      </c>
      <c r="I33" s="10">
        <f>IF($H33="","",$H33-WEEKDAY($H33,2)+1)</f>
        <v>46041</v>
      </c>
      <c r="J33" s="10">
        <f>IF($H33="","",DATE(YEAR($H33),MONTH($H33),1))</f>
        <v>46023</v>
      </c>
      <c r="K33" s="2"/>
      <c r="L33" s="10"/>
    </row>
    <row r="34" spans="1:12" customFormat="1" ht="15.95" hidden="1" customHeight="1" x14ac:dyDescent="0.2">
      <c r="A34" s="2" t="s">
        <v>113</v>
      </c>
      <c r="B34" s="2" t="s">
        <v>114</v>
      </c>
      <c r="C34" s="26" t="s">
        <v>115</v>
      </c>
      <c r="D34" s="2" t="s">
        <v>24</v>
      </c>
      <c r="E34" s="2" t="s">
        <v>15</v>
      </c>
      <c r="F34" s="2" t="s">
        <v>16</v>
      </c>
      <c r="G34" s="2" t="s">
        <v>251</v>
      </c>
      <c r="H34" s="10">
        <v>46042</v>
      </c>
      <c r="I34" s="10">
        <f>IF($H34="","",$H34-WEEKDAY($H34,2)+1)</f>
        <v>46041</v>
      </c>
      <c r="J34" s="10">
        <f>IF($H34="","",DATE(YEAR($H34),MONTH($H34),1))</f>
        <v>46023</v>
      </c>
      <c r="K34" s="2"/>
      <c r="L34" s="10"/>
    </row>
    <row r="35" spans="1:12" customFormat="1" ht="15.95" hidden="1" customHeight="1" x14ac:dyDescent="0.2">
      <c r="A35" s="2" t="s">
        <v>80</v>
      </c>
      <c r="B35" s="2" t="s">
        <v>81</v>
      </c>
      <c r="C35" s="9" t="s">
        <v>82</v>
      </c>
      <c r="D35" s="2" t="s">
        <v>24</v>
      </c>
      <c r="E35" s="2" t="s">
        <v>15</v>
      </c>
      <c r="F35" s="2" t="s">
        <v>16</v>
      </c>
      <c r="G35" s="2" t="s">
        <v>252</v>
      </c>
      <c r="H35" s="10">
        <v>46038</v>
      </c>
      <c r="I35" s="10">
        <f>IF($H35="","",$H35-WEEKDAY($H35,2)+1)</f>
        <v>46034</v>
      </c>
      <c r="J35" s="10">
        <f>IF($H35="","",DATE(YEAR($H35),MONTH($H35),1))</f>
        <v>46023</v>
      </c>
      <c r="K35" s="2" t="s">
        <v>83</v>
      </c>
      <c r="L35" s="10"/>
    </row>
    <row r="36" spans="1:12" customFormat="1" ht="32.1" customHeight="1" x14ac:dyDescent="0.2">
      <c r="A36" s="2" t="s">
        <v>136</v>
      </c>
      <c r="B36" s="2" t="s">
        <v>137</v>
      </c>
      <c r="C36" s="9" t="s">
        <v>138</v>
      </c>
      <c r="D36" s="2" t="s">
        <v>14</v>
      </c>
      <c r="E36" s="2" t="s">
        <v>15</v>
      </c>
      <c r="F36" s="2" t="s">
        <v>16</v>
      </c>
      <c r="G36" s="2" t="s">
        <v>251</v>
      </c>
      <c r="H36" s="10">
        <v>46048</v>
      </c>
      <c r="I36" s="10">
        <f>IF($H36="","",$H36-WEEKDAY($H36,2)+1)</f>
        <v>46048</v>
      </c>
      <c r="J36" s="10">
        <f>IF($H36="","",DATE(YEAR($H36),MONTH($H36),1))</f>
        <v>46023</v>
      </c>
      <c r="K36" s="2"/>
      <c r="L36" s="10"/>
    </row>
    <row r="37" spans="1:12" customFormat="1" ht="15.95" hidden="1" customHeight="1" x14ac:dyDescent="0.2">
      <c r="A37" s="25" t="s">
        <v>21</v>
      </c>
      <c r="B37" s="25" t="s">
        <v>22</v>
      </c>
      <c r="C37" s="27" t="s">
        <v>23</v>
      </c>
      <c r="D37" s="25" t="s">
        <v>24</v>
      </c>
      <c r="E37" s="25" t="s">
        <v>15</v>
      </c>
      <c r="F37" s="2" t="s">
        <v>16</v>
      </c>
      <c r="G37" s="2" t="s">
        <v>252</v>
      </c>
      <c r="H37" s="10">
        <v>46027</v>
      </c>
      <c r="I37" s="10">
        <f>IF($H37="","",$H37-WEEKDAY($H37,2)+1)</f>
        <v>46027</v>
      </c>
      <c r="J37" s="10">
        <f>IF($H37="","",DATE(YEAR($H37),MONTH($H37),1))</f>
        <v>46023</v>
      </c>
      <c r="K37" s="2" t="s">
        <v>25</v>
      </c>
      <c r="L37" s="10">
        <v>46035</v>
      </c>
    </row>
    <row r="38" spans="1:12" customFormat="1" ht="15.95" customHeight="1" x14ac:dyDescent="0.2">
      <c r="A38" s="2" t="s">
        <v>191</v>
      </c>
      <c r="B38" s="2" t="s">
        <v>192</v>
      </c>
      <c r="C38" s="17" t="s">
        <v>193</v>
      </c>
      <c r="D38" s="10" t="s">
        <v>24</v>
      </c>
      <c r="E38" s="2" t="s">
        <v>15</v>
      </c>
      <c r="F38" s="2" t="s">
        <v>16</v>
      </c>
      <c r="G38" s="2" t="s">
        <v>251</v>
      </c>
      <c r="H38" s="10">
        <v>46049</v>
      </c>
      <c r="I38" s="10">
        <f>IF($H38="","",$H38-WEEKDAY($H38,2)+1)</f>
        <v>46048</v>
      </c>
      <c r="J38" s="10">
        <f>IF($H38="","",DATE(YEAR($H38),MONTH($H38),1))</f>
        <v>46023</v>
      </c>
      <c r="K38" s="2"/>
      <c r="L38" s="10"/>
    </row>
    <row r="39" spans="1:12" customFormat="1" ht="32.1" customHeight="1" x14ac:dyDescent="0.2">
      <c r="A39" s="2" t="s">
        <v>201</v>
      </c>
      <c r="B39" s="2" t="s">
        <v>202</v>
      </c>
      <c r="C39" s="2" t="s">
        <v>206</v>
      </c>
      <c r="D39" s="10" t="s">
        <v>24</v>
      </c>
      <c r="E39" s="2" t="s">
        <v>15</v>
      </c>
      <c r="F39" s="2" t="s">
        <v>16</v>
      </c>
      <c r="G39" s="2" t="s">
        <v>251</v>
      </c>
      <c r="H39" s="10">
        <v>46051</v>
      </c>
      <c r="I39" s="10">
        <f>IF($H39="","",$H39-WEEKDAY($H39,2)+1)</f>
        <v>46048</v>
      </c>
      <c r="J39" s="10">
        <f>IF($H39="","",DATE(YEAR($H39),MONTH($H39),1))</f>
        <v>46023</v>
      </c>
      <c r="K39" s="2"/>
      <c r="L39" s="10"/>
    </row>
    <row r="40" spans="1:12" customFormat="1" ht="15.95" hidden="1" customHeight="1" x14ac:dyDescent="0.2">
      <c r="A40" s="2" t="s">
        <v>116</v>
      </c>
      <c r="B40" s="2" t="s">
        <v>117</v>
      </c>
      <c r="C40" s="9" t="s">
        <v>118</v>
      </c>
      <c r="D40" s="2" t="s">
        <v>24</v>
      </c>
      <c r="E40" s="2" t="s">
        <v>15</v>
      </c>
      <c r="F40" s="2" t="s">
        <v>16</v>
      </c>
      <c r="G40" s="2" t="s">
        <v>251</v>
      </c>
      <c r="H40" s="10">
        <v>46042</v>
      </c>
      <c r="I40" s="10">
        <f>IF($H40="","",$H40-WEEKDAY($H40,2)+1)</f>
        <v>46041</v>
      </c>
      <c r="J40" s="10">
        <f>IF($H40="","",DATE(YEAR($H40),MONTH($H40),1))</f>
        <v>46023</v>
      </c>
      <c r="K40" s="2"/>
      <c r="L40" s="10"/>
    </row>
    <row r="41" spans="1:12" customFormat="1" ht="15.95" customHeight="1" x14ac:dyDescent="0.2">
      <c r="A41" s="2" t="s">
        <v>207</v>
      </c>
      <c r="B41" s="2" t="s">
        <v>208</v>
      </c>
      <c r="C41" s="2" t="s">
        <v>206</v>
      </c>
      <c r="D41" s="10" t="s">
        <v>24</v>
      </c>
      <c r="E41" s="2" t="s">
        <v>15</v>
      </c>
      <c r="F41" s="2" t="s">
        <v>16</v>
      </c>
      <c r="G41" s="2" t="s">
        <v>251</v>
      </c>
      <c r="H41" s="10">
        <v>46051</v>
      </c>
      <c r="I41" s="10">
        <f>IF($H41="","",$H41-WEEKDAY($H41,2)+1)</f>
        <v>46048</v>
      </c>
      <c r="J41" s="10">
        <f>IF($H41="","",DATE(YEAR($H41),MONTH($H41),1))</f>
        <v>46023</v>
      </c>
      <c r="K41" s="2"/>
      <c r="L41" s="10"/>
    </row>
    <row r="42" spans="1:12" customFormat="1" ht="32.1" hidden="1" customHeight="1" x14ac:dyDescent="0.2">
      <c r="A42" s="2" t="s">
        <v>93</v>
      </c>
      <c r="B42" s="2" t="s">
        <v>94</v>
      </c>
      <c r="C42" s="9" t="s">
        <v>95</v>
      </c>
      <c r="D42" s="2" t="s">
        <v>24</v>
      </c>
      <c r="E42" s="2" t="s">
        <v>15</v>
      </c>
      <c r="F42" s="2" t="s">
        <v>16</v>
      </c>
      <c r="G42" s="2" t="s">
        <v>251</v>
      </c>
      <c r="H42" s="15">
        <v>46041</v>
      </c>
      <c r="I42" s="10">
        <f>IF($H42="","",$H42-WEEKDAY($H42,2)+1)</f>
        <v>46041</v>
      </c>
      <c r="J42" s="10">
        <f>IF($H42="","",DATE(YEAR($H42),MONTH($H42),1))</f>
        <v>46023</v>
      </c>
      <c r="K42" s="2"/>
      <c r="L42" s="10"/>
    </row>
    <row r="43" spans="1:12" customFormat="1" ht="32.1" hidden="1" customHeight="1" x14ac:dyDescent="0.2">
      <c r="A43" s="2" t="s">
        <v>90</v>
      </c>
      <c r="B43" s="2" t="s">
        <v>91</v>
      </c>
      <c r="C43" s="9" t="s">
        <v>92</v>
      </c>
      <c r="D43" s="2" t="s">
        <v>24</v>
      </c>
      <c r="E43" s="31" t="s">
        <v>15</v>
      </c>
      <c r="F43" s="2" t="s">
        <v>16</v>
      </c>
      <c r="G43" s="2" t="s">
        <v>251</v>
      </c>
      <c r="H43" s="10">
        <v>46041</v>
      </c>
      <c r="I43" s="10">
        <f>IF($H43="","",$H43-WEEKDAY($H43,2)+1)</f>
        <v>46041</v>
      </c>
      <c r="J43" s="10">
        <f>IF($H43="","",DATE(YEAR($H43),MONTH($H43),1))</f>
        <v>46023</v>
      </c>
      <c r="K43" s="2"/>
      <c r="L43" s="10"/>
    </row>
    <row r="44" spans="1:12" customFormat="1" ht="15.95" hidden="1" customHeight="1" x14ac:dyDescent="0.2">
      <c r="A44" s="2" t="s">
        <v>37</v>
      </c>
      <c r="B44" s="2" t="s">
        <v>38</v>
      </c>
      <c r="C44" s="9" t="s">
        <v>39</v>
      </c>
      <c r="D44" s="2" t="s">
        <v>24</v>
      </c>
      <c r="E44" s="2" t="s">
        <v>15</v>
      </c>
      <c r="F44" s="2" t="s">
        <v>16</v>
      </c>
      <c r="G44" s="2"/>
      <c r="H44" s="10">
        <v>46028</v>
      </c>
      <c r="I44" s="10">
        <f>IF($H44="","",$H44-WEEKDAY($H44,2)+1)</f>
        <v>46027</v>
      </c>
      <c r="J44" s="10">
        <f>IF($H44="","",DATE(YEAR($H44),MONTH($H44),1))</f>
        <v>46023</v>
      </c>
      <c r="K44" s="2"/>
      <c r="L44" s="10"/>
    </row>
    <row r="45" spans="1:12" customFormat="1" ht="15.95" hidden="1" customHeight="1" x14ac:dyDescent="0.2">
      <c r="A45" s="2" t="s">
        <v>139</v>
      </c>
      <c r="B45" s="2" t="s">
        <v>140</v>
      </c>
      <c r="C45" s="9" t="s">
        <v>141</v>
      </c>
      <c r="D45" s="2" t="s">
        <v>142</v>
      </c>
      <c r="E45" s="2" t="s">
        <v>15</v>
      </c>
      <c r="F45" s="2" t="s">
        <v>20</v>
      </c>
      <c r="G45" s="2" t="s">
        <v>251</v>
      </c>
      <c r="H45" s="10">
        <v>46048</v>
      </c>
      <c r="I45" s="10">
        <f>IF($H45="","",$H45-WEEKDAY($H45,2)+1)</f>
        <v>46048</v>
      </c>
      <c r="J45" s="10">
        <f>IF($H45="","",DATE(YEAR($H45),MONTH($H45),1))</f>
        <v>46023</v>
      </c>
      <c r="K45" s="2"/>
      <c r="L45" s="10"/>
    </row>
    <row r="46" spans="1:12" customFormat="1" ht="15.95" hidden="1" customHeight="1" x14ac:dyDescent="0.2">
      <c r="A46" s="2" t="s">
        <v>143</v>
      </c>
      <c r="B46" s="2" t="s">
        <v>140</v>
      </c>
      <c r="C46" s="9" t="s">
        <v>144</v>
      </c>
      <c r="D46" s="10" t="s">
        <v>142</v>
      </c>
      <c r="E46" s="10" t="s">
        <v>15</v>
      </c>
      <c r="F46" s="10" t="s">
        <v>178</v>
      </c>
      <c r="G46" s="2" t="s">
        <v>251</v>
      </c>
      <c r="H46" s="10">
        <v>46048</v>
      </c>
      <c r="I46" s="10">
        <f>IF($H46="","",$H46-WEEKDAY($H46,2)+1)</f>
        <v>46048</v>
      </c>
      <c r="J46" s="10">
        <f>IF($H46="","",DATE(YEAR($H46),MONTH($H46),1))</f>
        <v>46023</v>
      </c>
      <c r="K46" s="2" t="s">
        <v>235</v>
      </c>
      <c r="L46" s="10"/>
    </row>
    <row r="47" spans="1:12" customFormat="1" ht="32.1" hidden="1" customHeight="1" x14ac:dyDescent="0.2">
      <c r="A47" s="2" t="s">
        <v>87</v>
      </c>
      <c r="B47" s="2" t="s">
        <v>88</v>
      </c>
      <c r="C47" s="9" t="s">
        <v>89</v>
      </c>
      <c r="D47" s="2" t="s">
        <v>24</v>
      </c>
      <c r="E47" s="31" t="s">
        <v>15</v>
      </c>
      <c r="F47" s="2" t="s">
        <v>16</v>
      </c>
      <c r="G47" s="2" t="s">
        <v>251</v>
      </c>
      <c r="H47" s="10">
        <v>46041</v>
      </c>
      <c r="I47" s="10">
        <f>IF($H47="","",$H47-WEEKDAY($H47,2)+1)</f>
        <v>46041</v>
      </c>
      <c r="J47" s="10">
        <f>IF($H47="","",DATE(YEAR($H47),MONTH($H47),1))</f>
        <v>46023</v>
      </c>
      <c r="K47" s="2"/>
      <c r="L47" s="10"/>
    </row>
    <row r="48" spans="1:12" customFormat="1" ht="48" hidden="1" customHeight="1" x14ac:dyDescent="0.2">
      <c r="A48" s="2" t="s">
        <v>53</v>
      </c>
      <c r="B48" s="2" t="s">
        <v>54</v>
      </c>
      <c r="C48" s="9" t="s">
        <v>55</v>
      </c>
      <c r="D48" s="2" t="s">
        <v>24</v>
      </c>
      <c r="E48" s="2" t="s">
        <v>15</v>
      </c>
      <c r="F48" s="2" t="s">
        <v>16</v>
      </c>
      <c r="G48" s="2" t="s">
        <v>252</v>
      </c>
      <c r="H48" s="10">
        <v>46034</v>
      </c>
      <c r="I48" s="10">
        <f>IF($H48="","",$H48-WEEKDAY($H48,2)+1)</f>
        <v>46034</v>
      </c>
      <c r="J48" s="10">
        <f>IF($H48="","",DATE(YEAR($H48),MONTH($H48),1))</f>
        <v>46023</v>
      </c>
      <c r="K48" s="2" t="s">
        <v>56</v>
      </c>
      <c r="L48" s="10">
        <v>46036</v>
      </c>
    </row>
    <row r="49" spans="1:12" customFormat="1" ht="15.95" hidden="1" customHeight="1" x14ac:dyDescent="0.2">
      <c r="A49" s="25" t="s">
        <v>26</v>
      </c>
      <c r="B49" s="25" t="s">
        <v>22</v>
      </c>
      <c r="C49" s="27" t="s">
        <v>27</v>
      </c>
      <c r="D49" s="25" t="s">
        <v>24</v>
      </c>
      <c r="E49" s="25" t="s">
        <v>15</v>
      </c>
      <c r="F49" s="2" t="s">
        <v>16</v>
      </c>
      <c r="G49" s="2" t="s">
        <v>251</v>
      </c>
      <c r="H49" s="10">
        <v>46027</v>
      </c>
      <c r="I49" s="10">
        <f>IF($H49="","",$H49-WEEKDAY($H49,2)+1)</f>
        <v>46027</v>
      </c>
      <c r="J49" s="10">
        <f>IF($H49="","",DATE(YEAR($H49),MONTH($H49),1))</f>
        <v>46023</v>
      </c>
      <c r="K49" s="2"/>
      <c r="L49" s="10"/>
    </row>
    <row r="50" spans="1:12" customFormat="1" ht="15.95" hidden="1" customHeight="1" x14ac:dyDescent="0.2">
      <c r="A50" s="2" t="s">
        <v>60</v>
      </c>
      <c r="B50" s="2" t="s">
        <v>61</v>
      </c>
      <c r="C50" s="9" t="s">
        <v>62</v>
      </c>
      <c r="D50" s="2" t="s">
        <v>14</v>
      </c>
      <c r="E50" s="2" t="s">
        <v>15</v>
      </c>
      <c r="F50" s="2" t="s">
        <v>16</v>
      </c>
      <c r="G50" s="2" t="s">
        <v>251</v>
      </c>
      <c r="H50" s="10">
        <v>46034</v>
      </c>
      <c r="I50" s="10">
        <f>IF($H50="","",$H50-WEEKDAY($H50,2)+1)</f>
        <v>46034</v>
      </c>
      <c r="J50" s="10">
        <f>IF($H50="","",DATE(YEAR($H50),MONTH($H50),1))</f>
        <v>46023</v>
      </c>
      <c r="K50" s="2"/>
      <c r="L50" s="10"/>
    </row>
    <row r="51" spans="1:12" customFormat="1" ht="15.95" hidden="1" customHeight="1" x14ac:dyDescent="0.2">
      <c r="A51" s="2" t="s">
        <v>157</v>
      </c>
      <c r="B51" s="2" t="s">
        <v>158</v>
      </c>
      <c r="C51" s="9" t="s">
        <v>159</v>
      </c>
      <c r="D51" s="10" t="s">
        <v>160</v>
      </c>
      <c r="E51" s="2" t="s">
        <v>15</v>
      </c>
      <c r="F51" s="2" t="s">
        <v>20</v>
      </c>
      <c r="G51" s="2" t="s">
        <v>251</v>
      </c>
      <c r="H51" s="10">
        <v>46049</v>
      </c>
      <c r="I51" s="10">
        <f>IF($H51="","",$H51-WEEKDAY($H51,2)+1)</f>
        <v>46048</v>
      </c>
      <c r="J51" s="10">
        <f>IF($H51="","",DATE(YEAR($H51),MONTH($H51),1))</f>
        <v>46023</v>
      </c>
      <c r="K51" s="2"/>
      <c r="L51" s="10"/>
    </row>
    <row r="52" spans="1:12" customFormat="1" ht="15.95" hidden="1" customHeight="1" x14ac:dyDescent="0.2">
      <c r="A52" s="2" t="s">
        <v>161</v>
      </c>
      <c r="B52" s="2" t="s">
        <v>158</v>
      </c>
      <c r="C52" s="2" t="s">
        <v>162</v>
      </c>
      <c r="D52" s="10" t="s">
        <v>160</v>
      </c>
      <c r="E52" s="2" t="s">
        <v>15</v>
      </c>
      <c r="F52" s="2" t="s">
        <v>20</v>
      </c>
      <c r="G52" s="2" t="s">
        <v>251</v>
      </c>
      <c r="H52" s="10">
        <v>46049</v>
      </c>
      <c r="I52" s="10">
        <f>IF($H52="","",$H52-WEEKDAY($H52,2)+1)</f>
        <v>46048</v>
      </c>
      <c r="J52" s="10">
        <f>IF($H52="","",DATE(YEAR($H52),MONTH($H52),1))</f>
        <v>46023</v>
      </c>
      <c r="K52" s="2"/>
      <c r="L52" s="10"/>
    </row>
    <row r="53" spans="1:12" ht="41.25" hidden="1" x14ac:dyDescent="0.2">
      <c r="A53" s="2" t="s">
        <v>35</v>
      </c>
      <c r="B53" s="2" t="s">
        <v>33</v>
      </c>
      <c r="C53" s="26" t="s">
        <v>36</v>
      </c>
      <c r="D53" s="2" t="s">
        <v>24</v>
      </c>
      <c r="E53" s="2" t="s">
        <v>15</v>
      </c>
      <c r="F53" s="2" t="s">
        <v>16</v>
      </c>
      <c r="G53" s="2" t="s">
        <v>252</v>
      </c>
      <c r="H53" s="30">
        <v>46028</v>
      </c>
      <c r="I53" s="10">
        <f>IF($H53="","",$H53-WEEKDAY($H53,2)+1)</f>
        <v>46027</v>
      </c>
      <c r="J53" s="10">
        <f>IF($H53="","",DATE(YEAR($H53),MONTH($H53),1))</f>
        <v>46023</v>
      </c>
      <c r="K53" s="2" t="s">
        <v>25</v>
      </c>
      <c r="L53" s="10">
        <v>46035</v>
      </c>
    </row>
    <row r="54" spans="1:12" hidden="1" x14ac:dyDescent="0.2">
      <c r="A54" s="2" t="s">
        <v>195</v>
      </c>
      <c r="B54" s="2" t="s">
        <v>194</v>
      </c>
      <c r="C54" s="17" t="s">
        <v>196</v>
      </c>
      <c r="D54" s="10" t="s">
        <v>24</v>
      </c>
      <c r="E54" s="2" t="s">
        <v>15</v>
      </c>
      <c r="F54" s="2" t="s">
        <v>20</v>
      </c>
      <c r="G54" s="2" t="s">
        <v>251</v>
      </c>
      <c r="H54" s="10">
        <v>46049</v>
      </c>
      <c r="I54" s="10">
        <f>IF($H54="","",$H54-WEEKDAY($H54,2)+1)</f>
        <v>46048</v>
      </c>
      <c r="J54" s="10">
        <f>IF($H54="","",DATE(YEAR($H54),MONTH($H54),1))</f>
        <v>46023</v>
      </c>
      <c r="K54" s="2"/>
      <c r="L54" s="10"/>
    </row>
    <row r="55" spans="1:12" hidden="1" x14ac:dyDescent="0.2">
      <c r="A55" s="2" t="s">
        <v>198</v>
      </c>
      <c r="B55" s="2" t="s">
        <v>194</v>
      </c>
      <c r="C55" s="2" t="s">
        <v>197</v>
      </c>
      <c r="D55" s="12" t="s">
        <v>24</v>
      </c>
      <c r="E55" s="2" t="s">
        <v>15</v>
      </c>
      <c r="F55" s="2" t="s">
        <v>20</v>
      </c>
      <c r="G55" s="2" t="s">
        <v>251</v>
      </c>
      <c r="H55" s="10">
        <v>46049</v>
      </c>
      <c r="I55" s="10">
        <f>IF($H55="","",$H55-WEEKDAY($H55,2)+1)</f>
        <v>46048</v>
      </c>
      <c r="J55" s="10">
        <f>IF($H55="","",DATE(YEAR($H55),MONTH($H55),1))</f>
        <v>46023</v>
      </c>
      <c r="K55" s="2"/>
      <c r="L55" s="10"/>
    </row>
    <row r="56" spans="1:12" ht="94.5" hidden="1" x14ac:dyDescent="0.2">
      <c r="A56" s="2" t="s">
        <v>73</v>
      </c>
      <c r="B56" s="2" t="s">
        <v>74</v>
      </c>
      <c r="C56" s="26" t="s">
        <v>75</v>
      </c>
      <c r="D56" s="2" t="s">
        <v>24</v>
      </c>
      <c r="E56" s="2" t="s">
        <v>15</v>
      </c>
      <c r="F56" s="2" t="s">
        <v>16</v>
      </c>
      <c r="G56" s="2" t="s">
        <v>252</v>
      </c>
      <c r="H56" s="10">
        <v>46038</v>
      </c>
      <c r="I56" s="10">
        <f>IF($H56="","",$H56-WEEKDAY($H56,2)+1)</f>
        <v>46034</v>
      </c>
      <c r="J56" s="10">
        <f>IF($H56="","",DATE(YEAR($H56),MONTH($H56),1))</f>
        <v>46023</v>
      </c>
      <c r="K56" s="2" t="s">
        <v>76</v>
      </c>
      <c r="L56" s="10">
        <v>46041</v>
      </c>
    </row>
    <row r="57" spans="1:12" hidden="1" x14ac:dyDescent="0.2">
      <c r="A57" s="2" t="s">
        <v>109</v>
      </c>
      <c r="B57" s="2" t="s">
        <v>33</v>
      </c>
      <c r="C57" s="28" t="s">
        <v>110</v>
      </c>
      <c r="D57" s="2" t="s">
        <v>24</v>
      </c>
      <c r="E57" s="2" t="s">
        <v>15</v>
      </c>
      <c r="F57" s="2" t="s">
        <v>16</v>
      </c>
      <c r="G57" s="2" t="s">
        <v>251</v>
      </c>
      <c r="H57" s="10">
        <v>46042</v>
      </c>
      <c r="I57" s="10">
        <f>IF($H57="","",$H57-WEEKDAY($H57,2)+1)</f>
        <v>46041</v>
      </c>
      <c r="J57" s="10">
        <f>IF($H57="","",DATE(YEAR($H57),MONTH($H57),1))</f>
        <v>46023</v>
      </c>
      <c r="K57" s="2"/>
      <c r="L57" s="10"/>
    </row>
    <row r="58" spans="1:12" ht="27.75" hidden="1" x14ac:dyDescent="0.2">
      <c r="A58" s="2" t="s">
        <v>205</v>
      </c>
      <c r="B58" s="2" t="s">
        <v>204</v>
      </c>
      <c r="C58" s="17" t="s">
        <v>203</v>
      </c>
      <c r="D58" s="10" t="s">
        <v>24</v>
      </c>
      <c r="E58" s="2" t="s">
        <v>15</v>
      </c>
      <c r="F58" s="2" t="s">
        <v>178</v>
      </c>
      <c r="G58" s="2" t="s">
        <v>251</v>
      </c>
      <c r="H58" s="10">
        <v>46051</v>
      </c>
      <c r="I58" s="10">
        <f>IF($H58="","",$H58-WEEKDAY($H58,2)+1)</f>
        <v>46048</v>
      </c>
      <c r="J58" s="10">
        <f>IF($H58="","",DATE(YEAR($H58),MONTH($H58),1))</f>
        <v>46023</v>
      </c>
      <c r="K58" s="2"/>
      <c r="L58" s="10"/>
    </row>
    <row r="59" spans="1:12" hidden="1" x14ac:dyDescent="0.2">
      <c r="A59" s="2" t="s">
        <v>128</v>
      </c>
      <c r="B59" s="2" t="s">
        <v>126</v>
      </c>
      <c r="C59" s="2" t="s">
        <v>129</v>
      </c>
      <c r="D59" s="2" t="s">
        <v>24</v>
      </c>
      <c r="E59" s="2" t="s">
        <v>15</v>
      </c>
      <c r="F59" s="2" t="s">
        <v>16</v>
      </c>
      <c r="G59" s="2" t="s">
        <v>251</v>
      </c>
      <c r="H59" s="10">
        <v>46044</v>
      </c>
      <c r="I59" s="10">
        <f>IF($H59="","",$H59-WEEKDAY($H59,2)+1)</f>
        <v>46041</v>
      </c>
      <c r="J59" s="10">
        <f>IF($H59="","",DATE(YEAR($H59),MONTH($H59),1))</f>
        <v>46023</v>
      </c>
      <c r="K59" s="2"/>
      <c r="L59" s="10"/>
    </row>
    <row r="60" spans="1:12" hidden="1" x14ac:dyDescent="0.2">
      <c r="A60" s="2" t="s">
        <v>211</v>
      </c>
      <c r="B60" s="2" t="s">
        <v>210</v>
      </c>
      <c r="C60" s="17" t="s">
        <v>209</v>
      </c>
      <c r="D60" s="10" t="s">
        <v>24</v>
      </c>
      <c r="E60" s="2" t="s">
        <v>15</v>
      </c>
      <c r="F60" s="2" t="s">
        <v>20</v>
      </c>
      <c r="G60" s="2" t="s">
        <v>251</v>
      </c>
      <c r="H60" s="10">
        <v>46051</v>
      </c>
      <c r="I60" s="10">
        <f>IF($H60="","",$H60-WEEKDAY($H60,2)+1)</f>
        <v>46048</v>
      </c>
      <c r="J60" s="10">
        <f>IF($H60="","",DATE(YEAR($H60),MONTH($H60),1))</f>
        <v>46023</v>
      </c>
      <c r="K60" s="2"/>
      <c r="L60" s="10"/>
    </row>
    <row r="61" spans="1:12" hidden="1" x14ac:dyDescent="0.2">
      <c r="A61" s="25" t="s">
        <v>11</v>
      </c>
      <c r="B61" s="25" t="s">
        <v>12</v>
      </c>
      <c r="C61" s="14" t="s">
        <v>13</v>
      </c>
      <c r="D61" s="25" t="s">
        <v>14</v>
      </c>
      <c r="E61" s="25" t="s">
        <v>15</v>
      </c>
      <c r="F61" s="2" t="s">
        <v>16</v>
      </c>
      <c r="G61" s="2" t="s">
        <v>251</v>
      </c>
      <c r="H61" s="10">
        <v>46027</v>
      </c>
      <c r="I61" s="10">
        <f>IF($H61="","",$H61-WEEKDAY($H61,2)+1)</f>
        <v>46027</v>
      </c>
      <c r="J61" s="10">
        <f>IF($H61="","",DATE(YEAR($H61),MONTH($H61),1))</f>
        <v>46023</v>
      </c>
      <c r="K61" s="2"/>
      <c r="L61" s="10"/>
    </row>
    <row r="62" spans="1:12" hidden="1" x14ac:dyDescent="0.2">
      <c r="A62" s="2" t="s">
        <v>216</v>
      </c>
      <c r="B62" s="2" t="s">
        <v>217</v>
      </c>
      <c r="C62" s="17" t="s">
        <v>218</v>
      </c>
      <c r="D62" s="10" t="s">
        <v>24</v>
      </c>
      <c r="E62" s="2" t="s">
        <v>15</v>
      </c>
      <c r="F62" s="2" t="s">
        <v>20</v>
      </c>
      <c r="G62" s="2"/>
      <c r="H62" s="10">
        <v>46056</v>
      </c>
      <c r="I62" s="10">
        <f>IF($H62="","",$H62-WEEKDAY($H62,2)+1)</f>
        <v>46055</v>
      </c>
      <c r="J62" s="10">
        <f>IF($H62="","",DATE(YEAR($H62),MONTH($H62),1))</f>
        <v>46054</v>
      </c>
      <c r="K62" s="2"/>
      <c r="L62" s="10"/>
    </row>
    <row r="63" spans="1:12" hidden="1" x14ac:dyDescent="0.2">
      <c r="A63" s="2" t="s">
        <v>219</v>
      </c>
      <c r="B63" s="2" t="s">
        <v>220</v>
      </c>
      <c r="C63" s="17" t="s">
        <v>221</v>
      </c>
      <c r="D63" s="10" t="s">
        <v>24</v>
      </c>
      <c r="E63" s="2" t="s">
        <v>15</v>
      </c>
      <c r="F63" s="2" t="s">
        <v>20</v>
      </c>
      <c r="G63" s="2"/>
      <c r="H63" s="10">
        <v>46056</v>
      </c>
      <c r="I63" s="10">
        <f>IF($H63="","",$H63-WEEKDAY($H63,2)+1)</f>
        <v>46055</v>
      </c>
      <c r="J63" s="10">
        <f>IF($H63="","",DATE(YEAR($H63),MONTH($H63),1))</f>
        <v>46054</v>
      </c>
      <c r="K63" s="2"/>
      <c r="L63" s="10"/>
    </row>
    <row r="64" spans="1:12" hidden="1" x14ac:dyDescent="0.2">
      <c r="A64" s="2" t="s">
        <v>222</v>
      </c>
      <c r="B64" s="2" t="s">
        <v>220</v>
      </c>
      <c r="C64" s="2" t="s">
        <v>223</v>
      </c>
      <c r="D64" s="10" t="s">
        <v>24</v>
      </c>
      <c r="E64" s="2" t="s">
        <v>15</v>
      </c>
      <c r="F64" s="2" t="s">
        <v>20</v>
      </c>
      <c r="G64" s="2"/>
      <c r="H64" s="10">
        <v>46056</v>
      </c>
      <c r="I64" s="10">
        <f>IF($H64="","",$H64-WEEKDAY($H64,2)+1)</f>
        <v>46055</v>
      </c>
      <c r="J64" s="10">
        <f>IF($H64="","",DATE(YEAR($H64),MONTH($H64),1))</f>
        <v>46054</v>
      </c>
      <c r="K64" s="2"/>
      <c r="L64" s="10"/>
    </row>
    <row r="65" spans="1:12" hidden="1" x14ac:dyDescent="0.2">
      <c r="A65" s="2" t="s">
        <v>224</v>
      </c>
      <c r="B65" s="2" t="s">
        <v>225</v>
      </c>
      <c r="C65" s="17" t="s">
        <v>226</v>
      </c>
      <c r="D65" s="10" t="s">
        <v>24</v>
      </c>
      <c r="E65" s="2" t="s">
        <v>15</v>
      </c>
      <c r="F65" s="2" t="s">
        <v>20</v>
      </c>
      <c r="G65" s="2"/>
      <c r="H65" s="10">
        <v>46056</v>
      </c>
      <c r="I65" s="10">
        <f>IF($H65="","",$H65-WEEKDAY($H65,2)+1)</f>
        <v>46055</v>
      </c>
      <c r="J65" s="10">
        <f>IF($H65="","",DATE(YEAR($H65),MONTH($H65),1))</f>
        <v>46054</v>
      </c>
      <c r="K65" s="2"/>
      <c r="L65" s="10"/>
    </row>
    <row r="66" spans="1:12" hidden="1" x14ac:dyDescent="0.2">
      <c r="A66" s="2" t="s">
        <v>227</v>
      </c>
      <c r="B66" s="2" t="s">
        <v>228</v>
      </c>
      <c r="C66" s="17" t="s">
        <v>229</v>
      </c>
      <c r="D66" s="10" t="s">
        <v>24</v>
      </c>
      <c r="E66" s="2" t="s">
        <v>15</v>
      </c>
      <c r="F66" s="2"/>
      <c r="G66" s="2" t="s">
        <v>252</v>
      </c>
      <c r="H66" s="10">
        <v>46056</v>
      </c>
      <c r="I66" s="10">
        <f>IF($H66="","",$H66-WEEKDAY($H66,2)+1)</f>
        <v>46055</v>
      </c>
      <c r="J66" s="10">
        <f>IF($H66="","",DATE(YEAR($H66),MONTH($H66),1))</f>
        <v>46054</v>
      </c>
      <c r="K66" s="2" t="s">
        <v>256</v>
      </c>
      <c r="L66" s="10">
        <v>46063</v>
      </c>
    </row>
    <row r="67" spans="1:12" ht="27.75" hidden="1" x14ac:dyDescent="0.2">
      <c r="A67" s="2" t="s">
        <v>230</v>
      </c>
      <c r="B67" s="2" t="s">
        <v>231</v>
      </c>
      <c r="C67" s="2" t="s">
        <v>232</v>
      </c>
      <c r="D67" s="10" t="s">
        <v>24</v>
      </c>
      <c r="E67" s="2" t="s">
        <v>15</v>
      </c>
      <c r="F67" s="2"/>
      <c r="G67" s="2"/>
      <c r="H67" s="10">
        <v>46056</v>
      </c>
      <c r="I67" s="10">
        <f>IF($H67="","",$H67-WEEKDAY($H67,2)+1)</f>
        <v>46055</v>
      </c>
      <c r="J67" s="10">
        <f>IF($H67="","",DATE(YEAR($H67),MONTH($H67),1))</f>
        <v>46054</v>
      </c>
      <c r="K67" s="2"/>
      <c r="L67" s="10"/>
    </row>
    <row r="68" spans="1:12" hidden="1" x14ac:dyDescent="0.2">
      <c r="A68" s="2" t="s">
        <v>233</v>
      </c>
      <c r="B68" s="2" t="s">
        <v>231</v>
      </c>
      <c r="C68" s="2" t="s">
        <v>234</v>
      </c>
      <c r="D68" s="10" t="s">
        <v>24</v>
      </c>
      <c r="E68" s="2" t="s">
        <v>15</v>
      </c>
      <c r="F68" s="2"/>
      <c r="G68" s="2"/>
      <c r="H68" s="10">
        <v>46056</v>
      </c>
      <c r="I68" s="10">
        <f>IF($H68="","",$H68-WEEKDAY($H68,2)+1)</f>
        <v>46055</v>
      </c>
      <c r="J68" s="10">
        <f>IF($H68="","",DATE(YEAR($H68),MONTH($H68),1))</f>
        <v>46054</v>
      </c>
      <c r="K68" s="2"/>
      <c r="L68" s="10"/>
    </row>
    <row r="69" spans="1:12" ht="27.75" hidden="1" x14ac:dyDescent="0.2">
      <c r="A69" s="2" t="s">
        <v>236</v>
      </c>
      <c r="B69" s="2" t="s">
        <v>51</v>
      </c>
      <c r="C69" s="17" t="s">
        <v>237</v>
      </c>
      <c r="D69" s="10" t="s">
        <v>24</v>
      </c>
      <c r="E69" s="2" t="s">
        <v>15</v>
      </c>
      <c r="F69" s="2"/>
      <c r="G69" s="2"/>
      <c r="H69" s="10">
        <v>46062</v>
      </c>
      <c r="I69" s="10">
        <f>IF($H69="","",$H69-WEEKDAY($H69,2)+1)</f>
        <v>46062</v>
      </c>
      <c r="J69" s="10">
        <f>IF($H69="","",DATE(YEAR($H69),MONTH($H69),1))</f>
        <v>46054</v>
      </c>
      <c r="K69" s="2"/>
      <c r="L69" s="10"/>
    </row>
    <row r="70" spans="1:12" ht="27.75" hidden="1" x14ac:dyDescent="0.2">
      <c r="A70" s="2" t="s">
        <v>238</v>
      </c>
      <c r="B70" s="2" t="s">
        <v>239</v>
      </c>
      <c r="C70" s="17" t="s">
        <v>240</v>
      </c>
      <c r="D70" s="10" t="s">
        <v>24</v>
      </c>
      <c r="E70" s="2" t="s">
        <v>15</v>
      </c>
      <c r="F70" s="2"/>
      <c r="G70" s="2"/>
      <c r="H70" s="10">
        <v>46062</v>
      </c>
      <c r="I70" s="10">
        <f>IF($H70="","",$H70-WEEKDAY($H70,2)+1)</f>
        <v>46062</v>
      </c>
      <c r="J70" s="10">
        <f>IF($H70="","",DATE(YEAR($H70),MONTH($H70),1))</f>
        <v>46054</v>
      </c>
      <c r="K70" s="2"/>
      <c r="L70" s="10"/>
    </row>
    <row r="71" spans="1:12" hidden="1" x14ac:dyDescent="0.2">
      <c r="A71" s="2" t="s">
        <v>241</v>
      </c>
      <c r="B71" s="2" t="s">
        <v>242</v>
      </c>
      <c r="C71" s="17" t="s">
        <v>243</v>
      </c>
      <c r="D71" s="10" t="s">
        <v>24</v>
      </c>
      <c r="E71" s="2" t="s">
        <v>15</v>
      </c>
      <c r="F71" s="2"/>
      <c r="G71" s="2"/>
      <c r="H71" s="10">
        <v>46062</v>
      </c>
      <c r="I71" s="10">
        <f>IF($H71="","",$H71-WEEKDAY($H71,2)+1)</f>
        <v>46062</v>
      </c>
      <c r="J71" s="10">
        <f>IF($H71="","",DATE(YEAR($H71),MONTH($H71),1))</f>
        <v>46054</v>
      </c>
      <c r="K71" s="2"/>
      <c r="L71" s="10"/>
    </row>
    <row r="72" spans="1:12" hidden="1" x14ac:dyDescent="0.2">
      <c r="A72" s="2" t="s">
        <v>266</v>
      </c>
      <c r="B72" s="2" t="s">
        <v>245</v>
      </c>
      <c r="C72" s="17" t="s">
        <v>244</v>
      </c>
      <c r="D72" s="10" t="s">
        <v>24</v>
      </c>
      <c r="E72" s="2" t="s">
        <v>15</v>
      </c>
      <c r="F72" s="2"/>
      <c r="G72" s="2"/>
      <c r="H72" s="10">
        <v>46063</v>
      </c>
      <c r="I72" s="10">
        <f>IF($H72="","",$H72-WEEKDAY($H72,2)+1)</f>
        <v>46062</v>
      </c>
      <c r="J72" s="10">
        <f>IF($H72="","",DATE(YEAR($H72),MONTH($H72),1))</f>
        <v>46054</v>
      </c>
      <c r="K72" s="2"/>
      <c r="L72" s="10"/>
    </row>
    <row r="73" spans="1:12" hidden="1" x14ac:dyDescent="0.2">
      <c r="A73" s="2" t="s">
        <v>246</v>
      </c>
      <c r="B73" s="2" t="s">
        <v>247</v>
      </c>
      <c r="C73" s="17" t="s">
        <v>248</v>
      </c>
      <c r="D73" s="10" t="s">
        <v>249</v>
      </c>
      <c r="E73" s="2" t="s">
        <v>15</v>
      </c>
      <c r="F73" s="2"/>
      <c r="G73" s="2"/>
      <c r="H73" s="10">
        <v>46063</v>
      </c>
      <c r="I73" s="10">
        <f>IF($H73="","",$H73-WEEKDAY($H73,2)+1)</f>
        <v>46062</v>
      </c>
      <c r="J73" s="10">
        <f>IF($H73="","",DATE(YEAR($H73),MONTH($H73),1))</f>
        <v>46054</v>
      </c>
      <c r="K73" s="2"/>
      <c r="L73" s="10"/>
    </row>
    <row r="74" spans="1:12" hidden="1" x14ac:dyDescent="0.2">
      <c r="A74" s="2" t="s">
        <v>257</v>
      </c>
      <c r="B74" s="2" t="s">
        <v>258</v>
      </c>
      <c r="C74" s="17" t="s">
        <v>259</v>
      </c>
      <c r="D74" s="10" t="s">
        <v>24</v>
      </c>
      <c r="E74" s="2" t="s">
        <v>15</v>
      </c>
      <c r="F74" s="2"/>
      <c r="G74" s="2"/>
      <c r="H74" s="10">
        <v>46063</v>
      </c>
      <c r="I74" s="10">
        <f>IF($H74="","",$H74-WEEKDAY($H74,2)+1)</f>
        <v>46062</v>
      </c>
      <c r="J74" s="10">
        <f>IF($H74="","",DATE(YEAR($H74),MONTH($H74),1))</f>
        <v>46054</v>
      </c>
      <c r="K74" s="2"/>
      <c r="L74" s="10"/>
    </row>
    <row r="75" spans="1:12" ht="27.75" hidden="1" x14ac:dyDescent="0.2">
      <c r="A75" s="2" t="s">
        <v>261</v>
      </c>
      <c r="B75" s="2" t="s">
        <v>260</v>
      </c>
      <c r="C75" s="17" t="s">
        <v>262</v>
      </c>
      <c r="D75" s="10" t="s">
        <v>24</v>
      </c>
      <c r="E75" s="2" t="s">
        <v>15</v>
      </c>
      <c r="F75" s="2" t="s">
        <v>20</v>
      </c>
      <c r="G75" s="2"/>
      <c r="H75" s="10">
        <v>46063</v>
      </c>
      <c r="I75" s="10">
        <f>IF($H75="","",$H75-WEEKDAY($H75,2)+1)</f>
        <v>46062</v>
      </c>
      <c r="J75" s="10">
        <f>IF($H75="","",DATE(YEAR($H75),MONTH($H75),1))</f>
        <v>46054</v>
      </c>
      <c r="K75" s="2"/>
      <c r="L75" s="10"/>
    </row>
    <row r="76" spans="1:12" hidden="1" x14ac:dyDescent="0.2">
      <c r="A76" s="2" t="s">
        <v>265</v>
      </c>
      <c r="B76" s="2" t="s">
        <v>263</v>
      </c>
      <c r="C76" s="2" t="s">
        <v>264</v>
      </c>
      <c r="D76" s="10" t="s">
        <v>24</v>
      </c>
      <c r="E76" s="2" t="s">
        <v>15</v>
      </c>
      <c r="F76" s="2"/>
      <c r="G76" s="2"/>
      <c r="H76" s="10">
        <v>46063</v>
      </c>
      <c r="I76" s="10">
        <f>IF($H76="","",$H76-WEEKDAY($H76,2)+1)</f>
        <v>46062</v>
      </c>
      <c r="J76" s="10">
        <f>IF($H76="","",DATE(YEAR($H76),MONTH($H76),1))</f>
        <v>46054</v>
      </c>
      <c r="K76" s="2"/>
      <c r="L76" s="10"/>
    </row>
    <row r="77" spans="1:12" hidden="1" x14ac:dyDescent="0.2">
      <c r="A77" s="2" t="s">
        <v>109</v>
      </c>
      <c r="B77" s="2" t="s">
        <v>33</v>
      </c>
      <c r="C77" s="17" t="s">
        <v>267</v>
      </c>
      <c r="D77" s="10" t="s">
        <v>268</v>
      </c>
      <c r="E77" s="2"/>
      <c r="F77" s="2"/>
      <c r="G77" s="2"/>
      <c r="H77" s="10"/>
      <c r="I77" s="10" t="str">
        <f>IF($H77="","",$H77-WEEKDAY($H77,2)+1)</f>
        <v/>
      </c>
      <c r="J77" s="10" t="str">
        <f>IF($H77="","",DATE(YEAR($H77),MONTH($H77),1))</f>
        <v/>
      </c>
      <c r="K77" s="2"/>
      <c r="L77" s="10"/>
    </row>
    <row r="78" spans="1:12" hidden="1" x14ac:dyDescent="0.2">
      <c r="A78" s="2"/>
      <c r="B78" s="2"/>
      <c r="C78" s="2"/>
      <c r="D78" s="10"/>
      <c r="E78" s="2"/>
      <c r="F78" s="2"/>
      <c r="G78" s="2"/>
      <c r="H78" s="10"/>
      <c r="I78" s="10" t="str">
        <f>IF($H78="","",$H78-WEEKDAY($H78,2)+1)</f>
        <v/>
      </c>
      <c r="J78" s="10" t="str">
        <f>IF($H78="","",DATE(YEAR($H78),MONTH($H78),1))</f>
        <v/>
      </c>
      <c r="K78" s="2"/>
      <c r="L78" s="10"/>
    </row>
    <row r="79" spans="1:12" hidden="1" x14ac:dyDescent="0.2">
      <c r="A79" s="2"/>
      <c r="B79" s="2"/>
      <c r="C79" s="2"/>
      <c r="D79" s="10"/>
      <c r="E79" s="2"/>
      <c r="F79" s="2"/>
      <c r="G79" s="2"/>
      <c r="H79" s="10"/>
      <c r="I79" s="10" t="str">
        <f>IF($H79="","",$H79-WEEKDAY($H79,2)+1)</f>
        <v/>
      </c>
      <c r="J79" s="10" t="str">
        <f>IF($H79="","",DATE(YEAR($H79),MONTH($H79),1))</f>
        <v/>
      </c>
      <c r="K79" s="2"/>
      <c r="L79" s="10"/>
    </row>
    <row r="80" spans="1:12" hidden="1" x14ac:dyDescent="0.2">
      <c r="A80" s="2"/>
      <c r="B80" s="2"/>
      <c r="C80" s="2"/>
      <c r="D80" s="10"/>
      <c r="E80" s="2"/>
      <c r="F80" s="2"/>
      <c r="G80" s="2"/>
      <c r="H80" s="10"/>
      <c r="I80" s="10" t="str">
        <f>IF($H80="","",$H80-WEEKDAY($H80,2)+1)</f>
        <v/>
      </c>
      <c r="J80" s="10" t="str">
        <f>IF($H80="","",DATE(YEAR($H80),MONTH($H80),1))</f>
        <v/>
      </c>
      <c r="K80" s="2"/>
      <c r="L80" s="10"/>
    </row>
    <row r="81" spans="1:12" hidden="1" x14ac:dyDescent="0.2">
      <c r="A81" s="2"/>
      <c r="B81" s="2"/>
      <c r="C81" s="2"/>
      <c r="D81" s="10"/>
      <c r="E81" s="2"/>
      <c r="F81" s="2"/>
      <c r="G81" s="2"/>
      <c r="H81" s="10"/>
      <c r="I81" s="10" t="str">
        <f>IF($H81="","",$H81-WEEKDAY($H81,2)+1)</f>
        <v/>
      </c>
      <c r="J81" s="10" t="str">
        <f>IF($H81="","",DATE(YEAR($H81),MONTH($H81),1))</f>
        <v/>
      </c>
      <c r="K81" s="2"/>
      <c r="L81" s="10"/>
    </row>
    <row r="82" spans="1:12" hidden="1" x14ac:dyDescent="0.2">
      <c r="A82" s="2"/>
      <c r="B82" s="2"/>
      <c r="C82" s="2"/>
      <c r="D82" s="10"/>
      <c r="E82" s="2"/>
      <c r="F82" s="2"/>
      <c r="G82" s="2"/>
      <c r="H82" s="10"/>
      <c r="I82" s="10" t="str">
        <f>IF($H82="","",$H82-WEEKDAY($H82,2)+1)</f>
        <v/>
      </c>
      <c r="J82" s="10" t="str">
        <f>IF($H82="","",DATE(YEAR($H82),MONTH($H82),1))</f>
        <v/>
      </c>
      <c r="K82" s="2"/>
      <c r="L82" s="10"/>
    </row>
    <row r="83" spans="1:12" hidden="1" x14ac:dyDescent="0.2">
      <c r="A83" s="2"/>
      <c r="B83" s="2"/>
      <c r="C83" s="2"/>
      <c r="D83" s="10"/>
      <c r="E83" s="2"/>
      <c r="F83" s="2"/>
      <c r="G83" s="2"/>
      <c r="H83" s="10"/>
      <c r="I83" s="10" t="str">
        <f>IF($H83="","",$H83-WEEKDAY($H83,2)+1)</f>
        <v/>
      </c>
      <c r="J83" s="10" t="str">
        <f>IF($H83="","",DATE(YEAR($H83),MONTH($H83),1))</f>
        <v/>
      </c>
      <c r="K83" s="2"/>
      <c r="L83" s="10"/>
    </row>
    <row r="84" spans="1:12" hidden="1" x14ac:dyDescent="0.2">
      <c r="A84" s="2"/>
      <c r="B84" s="2"/>
      <c r="C84" s="2"/>
      <c r="D84" s="10"/>
      <c r="E84" s="2"/>
      <c r="F84" s="2"/>
      <c r="G84" s="2"/>
      <c r="H84" s="10"/>
      <c r="I84" s="10" t="str">
        <f>IF($H84="","",$H84-WEEKDAY($H84,2)+1)</f>
        <v/>
      </c>
      <c r="J84" s="10" t="str">
        <f>IF($H84="","",DATE(YEAR($H84),MONTH($H84),1))</f>
        <v/>
      </c>
      <c r="K84" s="2"/>
      <c r="L84" s="10"/>
    </row>
    <row r="85" spans="1:12" hidden="1" x14ac:dyDescent="0.2">
      <c r="A85" s="2"/>
      <c r="B85" s="2"/>
      <c r="C85" s="2"/>
      <c r="D85" s="10"/>
      <c r="E85" s="2"/>
      <c r="F85" s="2"/>
      <c r="G85" s="2"/>
      <c r="H85" s="10"/>
      <c r="I85" s="10" t="str">
        <f>IF($H85="","",$H85-WEEKDAY($H85,2)+1)</f>
        <v/>
      </c>
      <c r="J85" s="10" t="str">
        <f>IF($H85="","",DATE(YEAR($H85),MONTH($H85),1))</f>
        <v/>
      </c>
      <c r="K85" s="2"/>
      <c r="L85" s="10"/>
    </row>
    <row r="86" spans="1:12" hidden="1" x14ac:dyDescent="0.2">
      <c r="A86" s="2"/>
      <c r="B86" s="2"/>
      <c r="C86" s="2"/>
      <c r="D86" s="10"/>
      <c r="E86" s="2"/>
      <c r="F86" s="2"/>
      <c r="G86" s="2"/>
      <c r="H86" s="10"/>
      <c r="I86" s="10" t="str">
        <f>IF($H86="","",$H86-WEEKDAY($H86,2)+1)</f>
        <v/>
      </c>
      <c r="J86" s="10" t="str">
        <f>IF($H86="","",DATE(YEAR($H86),MONTH($H86),1))</f>
        <v/>
      </c>
      <c r="K86" s="2"/>
      <c r="L86" s="10"/>
    </row>
    <row r="87" spans="1:12" hidden="1" x14ac:dyDescent="0.2">
      <c r="A87" s="2"/>
      <c r="B87" s="2"/>
      <c r="C87" s="2"/>
      <c r="D87" s="10"/>
      <c r="E87" s="2"/>
      <c r="F87" s="2"/>
      <c r="G87" s="2"/>
      <c r="H87" s="10"/>
      <c r="I87" s="10" t="str">
        <f>IF($H87="","",$H87-WEEKDAY($H87,2)+1)</f>
        <v/>
      </c>
      <c r="J87" s="10" t="str">
        <f>IF($H87="","",DATE(YEAR($H87),MONTH($H87),1))</f>
        <v/>
      </c>
      <c r="K87" s="2"/>
      <c r="L87" s="10"/>
    </row>
    <row r="88" spans="1:12" hidden="1" x14ac:dyDescent="0.2">
      <c r="A88" s="2"/>
      <c r="B88" s="2"/>
      <c r="C88" s="2"/>
      <c r="D88" s="10"/>
      <c r="E88" s="2"/>
      <c r="F88" s="2"/>
      <c r="G88" s="2"/>
      <c r="H88" s="10"/>
      <c r="I88" s="10" t="str">
        <f>IF($H88="","",$H88-WEEKDAY($H88,2)+1)</f>
        <v/>
      </c>
      <c r="J88" s="10" t="str">
        <f>IF($H88="","",DATE(YEAR($H88),MONTH($H88),1))</f>
        <v/>
      </c>
      <c r="K88" s="2"/>
      <c r="L88" s="10"/>
    </row>
    <row r="89" spans="1:12" hidden="1" x14ac:dyDescent="0.2">
      <c r="A89" s="2"/>
      <c r="B89" s="2"/>
      <c r="C89" s="2"/>
      <c r="D89" s="10"/>
      <c r="E89" s="2"/>
      <c r="F89" s="2"/>
      <c r="G89" s="2"/>
      <c r="H89" s="10"/>
      <c r="I89" s="10" t="str">
        <f>IF($H89="","",$H89-WEEKDAY($H89,2)+1)</f>
        <v/>
      </c>
      <c r="J89" s="10" t="str">
        <f>IF($H89="","",DATE(YEAR($H89),MONTH($H89),1))</f>
        <v/>
      </c>
      <c r="K89" s="2"/>
      <c r="L89" s="10"/>
    </row>
    <row r="90" spans="1:12" hidden="1" x14ac:dyDescent="0.2">
      <c r="A90" s="2"/>
      <c r="B90" s="2"/>
      <c r="C90" s="2"/>
      <c r="D90" s="10"/>
      <c r="E90" s="2"/>
      <c r="F90" s="2"/>
      <c r="G90" s="2"/>
      <c r="H90" s="10"/>
      <c r="I90" s="10" t="str">
        <f>IF($H90="","",$H90-WEEKDAY($H90,2)+1)</f>
        <v/>
      </c>
      <c r="J90" s="10" t="str">
        <f>IF($H90="","",DATE(YEAR($H90),MONTH($H90),1))</f>
        <v/>
      </c>
      <c r="K90" s="2"/>
      <c r="L90" s="10"/>
    </row>
    <row r="91" spans="1:12" hidden="1" x14ac:dyDescent="0.2">
      <c r="A91" s="2"/>
      <c r="B91" s="2"/>
      <c r="C91" s="2"/>
      <c r="D91" s="10"/>
      <c r="E91" s="2"/>
      <c r="F91" s="2"/>
      <c r="G91" s="2"/>
      <c r="H91" s="10"/>
      <c r="I91" s="10" t="str">
        <f>IF($H91="","",$H91-WEEKDAY($H91,2)+1)</f>
        <v/>
      </c>
      <c r="J91" s="10" t="str">
        <f>IF($H91="","",DATE(YEAR($H91),MONTH($H91),1))</f>
        <v/>
      </c>
      <c r="K91" s="2"/>
      <c r="L91" s="10"/>
    </row>
    <row r="92" spans="1:12" hidden="1" x14ac:dyDescent="0.2">
      <c r="A92" s="2"/>
      <c r="B92" s="2"/>
      <c r="C92" s="2"/>
      <c r="D92" s="10"/>
      <c r="E92" s="2"/>
      <c r="F92" s="2"/>
      <c r="G92" s="2"/>
      <c r="H92" s="10"/>
      <c r="I92" s="10" t="str">
        <f>IF($H92="","",$H92-WEEKDAY($H92,2)+1)</f>
        <v/>
      </c>
      <c r="J92" s="10" t="str">
        <f>IF($H92="","",DATE(YEAR($H92),MONTH($H92),1))</f>
        <v/>
      </c>
      <c r="K92" s="2"/>
      <c r="L92" s="10"/>
    </row>
    <row r="93" spans="1:12" hidden="1" x14ac:dyDescent="0.2">
      <c r="A93" s="2"/>
      <c r="B93" s="2"/>
      <c r="C93" s="2"/>
      <c r="D93" s="2"/>
      <c r="E93" s="2"/>
      <c r="F93" s="2"/>
      <c r="G93" s="2"/>
      <c r="H93" s="10"/>
      <c r="I93" s="10" t="str">
        <f>IF($H93="","",$H93-WEEKDAY($H93,2)+1)</f>
        <v/>
      </c>
      <c r="J93" s="10" t="str">
        <f>IF($H93="","",DATE(YEAR($H93),MONTH($H93),1))</f>
        <v/>
      </c>
      <c r="K93" s="2"/>
      <c r="L93" s="10"/>
    </row>
    <row r="94" spans="1:12" hidden="1" x14ac:dyDescent="0.2">
      <c r="A94" s="2"/>
      <c r="B94" s="2"/>
      <c r="C94" s="2"/>
      <c r="D94" s="2"/>
      <c r="E94" s="2"/>
      <c r="F94" s="2"/>
      <c r="G94" s="2"/>
      <c r="H94" s="10"/>
      <c r="I94" s="10" t="str">
        <f>IF($H94="","",$H94-WEEKDAY($H94,2)+1)</f>
        <v/>
      </c>
      <c r="J94" s="10" t="str">
        <f>IF($H94="","",DATE(YEAR($H94),MONTH($H94),1))</f>
        <v/>
      </c>
      <c r="K94" s="2"/>
      <c r="L94" s="10"/>
    </row>
    <row r="95" spans="1:12" hidden="1" x14ac:dyDescent="0.2">
      <c r="A95" s="2"/>
      <c r="B95" s="2"/>
      <c r="C95" s="2"/>
      <c r="D95" s="2"/>
      <c r="E95" s="2"/>
      <c r="F95" s="2"/>
      <c r="G95" s="2"/>
      <c r="H95" s="10"/>
      <c r="I95" s="10" t="str">
        <f>IF($H95="","",$H95-WEEKDAY($H95,2)+1)</f>
        <v/>
      </c>
      <c r="J95" s="10" t="str">
        <f>IF($H95="","",DATE(YEAR($H95),MONTH($H95),1))</f>
        <v/>
      </c>
      <c r="K95" s="2"/>
      <c r="L95" s="10"/>
    </row>
    <row r="96" spans="1:12" hidden="1" x14ac:dyDescent="0.2">
      <c r="A96" s="2"/>
      <c r="B96" s="2"/>
      <c r="C96" s="2"/>
      <c r="D96" s="2"/>
      <c r="E96" s="2"/>
      <c r="F96" s="2"/>
      <c r="G96" s="2"/>
      <c r="H96" s="10"/>
      <c r="I96" s="10" t="str">
        <f>IF($H96="","",$H96-WEEKDAY($H96,2)+1)</f>
        <v/>
      </c>
      <c r="J96" s="10" t="str">
        <f>IF($H96="","",DATE(YEAR($H96),MONTH($H96),1))</f>
        <v/>
      </c>
      <c r="K96" s="2"/>
      <c r="L96" s="10"/>
    </row>
    <row r="97" spans="1:12" hidden="1" x14ac:dyDescent="0.2">
      <c r="A97" s="2"/>
      <c r="B97" s="2"/>
      <c r="C97" s="2"/>
      <c r="D97" s="2"/>
      <c r="E97" s="2"/>
      <c r="F97" s="2"/>
      <c r="G97" s="2"/>
      <c r="H97" s="10"/>
      <c r="I97" s="10" t="str">
        <f>IF($H97="","",$H97-WEEKDAY($H97,2)+1)</f>
        <v/>
      </c>
      <c r="J97" s="10" t="str">
        <f>IF($H97="","",DATE(YEAR($H97),MONTH($H97),1))</f>
        <v/>
      </c>
      <c r="K97" s="2"/>
      <c r="L97" s="10"/>
    </row>
    <row r="98" spans="1:12" hidden="1" x14ac:dyDescent="0.2">
      <c r="A98" s="2"/>
      <c r="B98" s="2"/>
      <c r="C98" s="2"/>
      <c r="D98" s="2"/>
      <c r="E98" s="2"/>
      <c r="F98" s="2"/>
      <c r="G98" s="2"/>
      <c r="H98" s="10"/>
      <c r="I98" s="10" t="str">
        <f>IF($H98="","",$H98-WEEKDAY($H98,2)+1)</f>
        <v/>
      </c>
      <c r="J98" s="10" t="str">
        <f>IF($H98="","",DATE(YEAR($H98),MONTH($H98),1))</f>
        <v/>
      </c>
      <c r="K98" s="2"/>
      <c r="L98" s="10"/>
    </row>
    <row r="99" spans="1:12" hidden="1" x14ac:dyDescent="0.2">
      <c r="A99" s="2"/>
      <c r="B99" s="2"/>
      <c r="C99" s="2"/>
      <c r="D99" s="2"/>
      <c r="E99" s="2"/>
      <c r="F99" s="2"/>
      <c r="G99" s="2"/>
      <c r="H99" s="10"/>
      <c r="I99" s="10" t="str">
        <f>IF($H99="","",$H99-WEEKDAY($H99,2)+1)</f>
        <v/>
      </c>
      <c r="J99" s="10" t="str">
        <f>IF($H99="","",DATE(YEAR($H99),MONTH($H99),1))</f>
        <v/>
      </c>
      <c r="K99" s="2"/>
      <c r="L99" s="10"/>
    </row>
    <row r="100" spans="1:12" hidden="1" x14ac:dyDescent="0.2">
      <c r="A100" s="2"/>
      <c r="B100" s="2"/>
      <c r="C100" s="2"/>
      <c r="D100" s="2"/>
      <c r="E100" s="2"/>
      <c r="F100" s="2"/>
      <c r="G100" s="2"/>
      <c r="H100" s="10"/>
      <c r="I100" s="10" t="str">
        <f>IF($H100="","",$H100-WEEKDAY($H100,2)+1)</f>
        <v/>
      </c>
      <c r="J100" s="10" t="str">
        <f>IF($H100="","",DATE(YEAR($H100),MONTH($H100),1))</f>
        <v/>
      </c>
      <c r="K100" s="2"/>
      <c r="L100" s="10"/>
    </row>
    <row r="101" spans="1:12" hidden="1" x14ac:dyDescent="0.2">
      <c r="A101" s="2"/>
      <c r="B101" s="2"/>
      <c r="C101" s="2"/>
      <c r="D101" s="2"/>
      <c r="E101" s="2"/>
      <c r="F101" s="2"/>
      <c r="G101" s="2"/>
      <c r="H101" s="10"/>
      <c r="I101" s="10" t="str">
        <f>IF($H101="","",$H101-WEEKDAY($H101,2)+1)</f>
        <v/>
      </c>
      <c r="J101" s="10" t="str">
        <f>IF($H101="","",DATE(YEAR($H101),MONTH($H101),1))</f>
        <v/>
      </c>
      <c r="K101" s="2"/>
      <c r="L101" s="10"/>
    </row>
    <row r="102" spans="1:12" hidden="1" x14ac:dyDescent="0.2">
      <c r="A102" s="2"/>
      <c r="B102" s="2"/>
      <c r="C102" s="2"/>
      <c r="D102" s="2"/>
      <c r="E102" s="2"/>
      <c r="F102" s="2"/>
      <c r="G102" s="2"/>
      <c r="H102" s="10"/>
      <c r="I102" s="10" t="str">
        <f>IF($H102="","",$H102-WEEKDAY($H102,2)+1)</f>
        <v/>
      </c>
      <c r="J102" s="10" t="str">
        <f>IF($H102="","",DATE(YEAR($H102),MONTH($H102),1))</f>
        <v/>
      </c>
      <c r="K102" s="2"/>
      <c r="L102" s="10"/>
    </row>
    <row r="103" spans="1:12" hidden="1" x14ac:dyDescent="0.2">
      <c r="A103" s="2"/>
      <c r="B103" s="2"/>
      <c r="C103" s="2"/>
      <c r="D103" s="2"/>
      <c r="E103" s="2"/>
      <c r="F103" s="2"/>
      <c r="G103" s="2"/>
      <c r="H103" s="10"/>
      <c r="I103" s="10" t="str">
        <f>IF($H103="","",$H103-WEEKDAY($H103,2)+1)</f>
        <v/>
      </c>
      <c r="J103" s="10" t="str">
        <f>IF($H103="","",DATE(YEAR($H103),MONTH($H103),1))</f>
        <v/>
      </c>
      <c r="K103" s="2"/>
      <c r="L103" s="10"/>
    </row>
    <row r="104" spans="1:12" hidden="1" x14ac:dyDescent="0.2">
      <c r="A104" s="2"/>
      <c r="B104" s="2"/>
      <c r="C104" s="2"/>
      <c r="D104" s="2"/>
      <c r="E104" s="2"/>
      <c r="F104" s="2"/>
      <c r="G104" s="2"/>
      <c r="H104" s="10"/>
      <c r="I104" s="10" t="str">
        <f>IF($H104="","",$H104-WEEKDAY($H104,2)+1)</f>
        <v/>
      </c>
      <c r="J104" s="10" t="str">
        <f>IF($H104="","",DATE(YEAR($H104),MONTH($H104),1))</f>
        <v/>
      </c>
      <c r="K104" s="2"/>
      <c r="L104" s="10"/>
    </row>
    <row r="105" spans="1:12" hidden="1" x14ac:dyDescent="0.2">
      <c r="A105" s="2"/>
      <c r="B105" s="2"/>
      <c r="C105" s="2"/>
      <c r="D105" s="2"/>
      <c r="E105" s="2"/>
      <c r="F105" s="2"/>
      <c r="G105" s="2"/>
      <c r="H105" s="10"/>
      <c r="I105" s="10" t="str">
        <f>IF($H105="","",$H105-WEEKDAY($H105,2)+1)</f>
        <v/>
      </c>
      <c r="J105" s="10" t="str">
        <f>IF($H105="","",DATE(YEAR($H105),MONTH($H105),1))</f>
        <v/>
      </c>
      <c r="K105" s="2"/>
      <c r="L105" s="10"/>
    </row>
    <row r="106" spans="1:12" hidden="1" x14ac:dyDescent="0.2">
      <c r="A106" s="2"/>
      <c r="B106" s="2"/>
      <c r="C106" s="2"/>
      <c r="D106" s="2"/>
      <c r="E106" s="2"/>
      <c r="F106" s="2"/>
      <c r="G106" s="2"/>
      <c r="H106" s="10"/>
      <c r="I106" s="10" t="str">
        <f>IF($H106="","",$H106-WEEKDAY($H106,2)+1)</f>
        <v/>
      </c>
      <c r="J106" s="10" t="str">
        <f>IF($H106="","",DATE(YEAR($H106),MONTH($H106),1))</f>
        <v/>
      </c>
      <c r="K106" s="2"/>
      <c r="L106" s="10"/>
    </row>
    <row r="107" spans="1:12" hidden="1" x14ac:dyDescent="0.2">
      <c r="A107" s="2"/>
      <c r="B107" s="2"/>
      <c r="C107" s="2"/>
      <c r="D107" s="2"/>
      <c r="E107" s="2"/>
      <c r="F107" s="2"/>
      <c r="G107" s="2"/>
      <c r="H107" s="10"/>
      <c r="I107" s="10" t="str">
        <f>IF($H107="","",$H107-WEEKDAY($H107,2)+1)</f>
        <v/>
      </c>
      <c r="J107" s="10" t="str">
        <f>IF($H107="","",DATE(YEAR($H107),MONTH($H107),1))</f>
        <v/>
      </c>
      <c r="K107" s="2"/>
      <c r="L107" s="10"/>
    </row>
    <row r="108" spans="1:12" hidden="1" x14ac:dyDescent="0.2">
      <c r="A108" s="2"/>
      <c r="B108" s="2"/>
      <c r="C108" s="2"/>
      <c r="D108" s="2"/>
      <c r="E108" s="2"/>
      <c r="F108" s="2"/>
      <c r="G108" s="2"/>
      <c r="H108" s="10"/>
      <c r="I108" s="10" t="str">
        <f>IF($H108="","",$H108-WEEKDAY($H108,2)+1)</f>
        <v/>
      </c>
      <c r="J108" s="10" t="str">
        <f>IF($H108="","",DATE(YEAR($H108),MONTH($H108),1))</f>
        <v/>
      </c>
      <c r="K108" s="2"/>
      <c r="L108" s="10"/>
    </row>
    <row r="109" spans="1:12" hidden="1" x14ac:dyDescent="0.2">
      <c r="A109" s="2"/>
      <c r="B109" s="2"/>
      <c r="C109" s="2"/>
      <c r="D109" s="2"/>
      <c r="E109" s="2"/>
      <c r="F109" s="2"/>
      <c r="G109" s="2"/>
      <c r="H109" s="10"/>
      <c r="I109" s="10" t="str">
        <f>IF($H109="","",$H109-WEEKDAY($H109,2)+1)</f>
        <v/>
      </c>
      <c r="J109" s="10" t="str">
        <f>IF($H109="","",DATE(YEAR($H109),MONTH($H109),1))</f>
        <v/>
      </c>
      <c r="K109" s="2"/>
      <c r="L109" s="10"/>
    </row>
    <row r="110" spans="1:12" hidden="1" x14ac:dyDescent="0.2">
      <c r="A110" s="2"/>
      <c r="B110" s="2"/>
      <c r="C110" s="2"/>
      <c r="D110" s="2"/>
      <c r="E110" s="2"/>
      <c r="F110" s="2"/>
      <c r="G110" s="2"/>
      <c r="H110" s="10"/>
      <c r="I110" s="10" t="str">
        <f>IF($H110="","",$H110-WEEKDAY($H110,2)+1)</f>
        <v/>
      </c>
      <c r="J110" s="10" t="str">
        <f>IF($H110="","",DATE(YEAR($H110),MONTH($H110),1))</f>
        <v/>
      </c>
      <c r="K110" s="2"/>
      <c r="L110" s="10"/>
    </row>
    <row r="111" spans="1:12" hidden="1" x14ac:dyDescent="0.2">
      <c r="A111" s="2"/>
      <c r="B111" s="2"/>
      <c r="C111" s="2"/>
      <c r="D111" s="2"/>
      <c r="E111" s="2"/>
      <c r="F111" s="2"/>
      <c r="G111" s="2"/>
      <c r="H111" s="10"/>
      <c r="I111" s="10" t="str">
        <f>IF($H111="","",$H111-WEEKDAY($H111,2)+1)</f>
        <v/>
      </c>
      <c r="J111" s="10" t="str">
        <f>IF($H111="","",DATE(YEAR($H111),MONTH($H111),1))</f>
        <v/>
      </c>
      <c r="K111" s="2"/>
      <c r="L111" s="10"/>
    </row>
    <row r="112" spans="1:12" hidden="1" x14ac:dyDescent="0.2">
      <c r="A112" s="2"/>
      <c r="B112" s="2"/>
      <c r="C112" s="2"/>
      <c r="D112" s="2"/>
      <c r="E112" s="2"/>
      <c r="F112" s="2"/>
      <c r="G112" s="2"/>
      <c r="H112" s="10"/>
      <c r="I112" s="10" t="str">
        <f>IF($H112="","",$H112-WEEKDAY($H112,2)+1)</f>
        <v/>
      </c>
      <c r="J112" s="10" t="str">
        <f>IF($H112="","",DATE(YEAR($H112),MONTH($H112),1))</f>
        <v/>
      </c>
      <c r="K112" s="2"/>
      <c r="L112" s="10"/>
    </row>
    <row r="113" spans="1:12" hidden="1" x14ac:dyDescent="0.2">
      <c r="A113" s="2"/>
      <c r="B113" s="2"/>
      <c r="C113" s="2"/>
      <c r="D113" s="2"/>
      <c r="E113" s="2"/>
      <c r="F113" s="2"/>
      <c r="G113" s="2"/>
      <c r="H113" s="10"/>
      <c r="I113" s="10" t="str">
        <f>IF($H113="","",$H113-WEEKDAY($H113,2)+1)</f>
        <v/>
      </c>
      <c r="J113" s="10" t="str">
        <f>IF($H113="","",DATE(YEAR($H113),MONTH($H113),1))</f>
        <v/>
      </c>
      <c r="K113" s="2"/>
      <c r="L113" s="10"/>
    </row>
    <row r="114" spans="1:12" hidden="1" x14ac:dyDescent="0.2">
      <c r="A114" s="2"/>
      <c r="B114" s="2"/>
      <c r="C114" s="2"/>
      <c r="D114" s="2"/>
      <c r="E114" s="2"/>
      <c r="F114" s="2"/>
      <c r="G114" s="2"/>
      <c r="H114" s="10"/>
      <c r="I114" s="10" t="str">
        <f>IF($H114="","",$H114-WEEKDAY($H114,2)+1)</f>
        <v/>
      </c>
      <c r="J114" s="10" t="str">
        <f>IF($H114="","",DATE(YEAR($H114),MONTH($H114),1))</f>
        <v/>
      </c>
      <c r="K114" s="2"/>
      <c r="L114" s="10"/>
    </row>
    <row r="115" spans="1:12" hidden="1" x14ac:dyDescent="0.2">
      <c r="A115" s="2"/>
      <c r="B115" s="2"/>
      <c r="C115" s="2"/>
      <c r="D115" s="2"/>
      <c r="E115" s="2"/>
      <c r="F115" s="2"/>
      <c r="G115" s="2"/>
      <c r="H115" s="10"/>
      <c r="I115" s="10" t="str">
        <f>IF($H115="","",$H115-WEEKDAY($H115,2)+1)</f>
        <v/>
      </c>
      <c r="J115" s="10" t="str">
        <f>IF($H115="","",DATE(YEAR($H115),MONTH($H115),1))</f>
        <v/>
      </c>
      <c r="K115" s="2"/>
      <c r="L115" s="10"/>
    </row>
    <row r="116" spans="1:12" hidden="1" x14ac:dyDescent="0.2">
      <c r="A116" s="2"/>
      <c r="B116" s="2"/>
      <c r="C116" s="2"/>
      <c r="D116" s="2"/>
      <c r="E116" s="2"/>
      <c r="F116" s="2"/>
      <c r="G116" s="2"/>
      <c r="H116" s="10"/>
      <c r="I116" s="10" t="str">
        <f>IF($H116="","",$H116-WEEKDAY($H116,2)+1)</f>
        <v/>
      </c>
      <c r="J116" s="10" t="str">
        <f>IF($H116="","",DATE(YEAR($H116),MONTH($H116),1))</f>
        <v/>
      </c>
      <c r="K116" s="2"/>
      <c r="L116" s="10"/>
    </row>
    <row r="117" spans="1:12" hidden="1" x14ac:dyDescent="0.2">
      <c r="A117" s="2"/>
      <c r="B117" s="2"/>
      <c r="C117" s="2"/>
      <c r="D117" s="2"/>
      <c r="E117" s="2"/>
      <c r="F117" s="2"/>
      <c r="G117" s="2"/>
      <c r="H117" s="10"/>
      <c r="I117" s="10" t="str">
        <f>IF($H117="","",$H117-WEEKDAY($H117,2)+1)</f>
        <v/>
      </c>
      <c r="J117" s="10" t="str">
        <f>IF($H117="","",DATE(YEAR($H117),MONTH($H117),1))</f>
        <v/>
      </c>
      <c r="K117" s="2"/>
      <c r="L117" s="10"/>
    </row>
    <row r="118" spans="1:12" hidden="1" x14ac:dyDescent="0.2">
      <c r="A118" s="2"/>
      <c r="B118" s="2"/>
      <c r="C118" s="2"/>
      <c r="D118" s="2"/>
      <c r="E118" s="2"/>
      <c r="F118" s="2"/>
      <c r="G118" s="2"/>
      <c r="H118" s="10"/>
      <c r="I118" s="10" t="str">
        <f>IF($H118="","",$H118-WEEKDAY($H118,2)+1)</f>
        <v/>
      </c>
      <c r="J118" s="10" t="str">
        <f>IF($H118="","",DATE(YEAR($H118),MONTH($H118),1))</f>
        <v/>
      </c>
      <c r="K118" s="2"/>
      <c r="L118" s="10"/>
    </row>
    <row r="119" spans="1:12" hidden="1" x14ac:dyDescent="0.2">
      <c r="A119" s="2"/>
      <c r="B119" s="2"/>
      <c r="C119" s="2"/>
      <c r="D119" s="2"/>
      <c r="E119" s="2"/>
      <c r="F119" s="2"/>
      <c r="G119" s="2"/>
      <c r="H119" s="10"/>
      <c r="I119" s="10" t="str">
        <f>IF($H119="","",$H119-WEEKDAY($H119,2)+1)</f>
        <v/>
      </c>
      <c r="J119" s="10" t="str">
        <f>IF($H119="","",DATE(YEAR($H119),MONTH($H119),1))</f>
        <v/>
      </c>
      <c r="K119" s="2"/>
      <c r="L119" s="10"/>
    </row>
    <row r="120" spans="1:12" hidden="1" x14ac:dyDescent="0.2">
      <c r="A120" s="2"/>
      <c r="B120" s="2"/>
      <c r="C120" s="2"/>
      <c r="D120" s="2"/>
      <c r="E120" s="2"/>
      <c r="F120" s="2"/>
      <c r="G120" s="2"/>
      <c r="H120" s="10"/>
      <c r="I120" s="10" t="str">
        <f>IF($H120="","",$H120-WEEKDAY($H120,2)+1)</f>
        <v/>
      </c>
      <c r="J120" s="10" t="str">
        <f>IF($H120="","",DATE(YEAR($H120),MONTH($H120),1))</f>
        <v/>
      </c>
      <c r="K120" s="2"/>
      <c r="L120" s="10"/>
    </row>
    <row r="121" spans="1:12" hidden="1" x14ac:dyDescent="0.2">
      <c r="A121" s="2"/>
      <c r="B121" s="2"/>
      <c r="C121" s="2"/>
      <c r="D121" s="2"/>
      <c r="E121" s="2"/>
      <c r="F121" s="2"/>
      <c r="G121" s="2"/>
      <c r="H121" s="10"/>
      <c r="I121" s="10" t="str">
        <f>IF($H121="","",$H121-WEEKDAY($H121,2)+1)</f>
        <v/>
      </c>
      <c r="J121" s="10" t="str">
        <f>IF($H121="","",DATE(YEAR($H121),MONTH($H121),1))</f>
        <v/>
      </c>
      <c r="K121" s="2"/>
      <c r="L121" s="10"/>
    </row>
    <row r="122" spans="1:12" hidden="1" x14ac:dyDescent="0.2">
      <c r="A122" s="2"/>
      <c r="B122" s="2"/>
      <c r="C122" s="2"/>
      <c r="D122" s="2"/>
      <c r="E122" s="2"/>
      <c r="F122" s="2"/>
      <c r="G122" s="2"/>
      <c r="H122" s="10"/>
      <c r="I122" s="10" t="str">
        <f>IF($H122="","",$H122-WEEKDAY($H122,2)+1)</f>
        <v/>
      </c>
      <c r="J122" s="10" t="str">
        <f>IF($H122="","",DATE(YEAR($H122),MONTH($H122),1))</f>
        <v/>
      </c>
      <c r="K122" s="2"/>
      <c r="L122" s="10"/>
    </row>
    <row r="123" spans="1:12" hidden="1" x14ac:dyDescent="0.2">
      <c r="A123" s="2"/>
      <c r="B123" s="2"/>
      <c r="C123" s="2"/>
      <c r="D123" s="2"/>
      <c r="E123" s="2"/>
      <c r="F123" s="2"/>
      <c r="G123" s="2"/>
      <c r="H123" s="10"/>
      <c r="I123" s="10" t="str">
        <f>IF($H123="","",$H123-WEEKDAY($H123,2)+1)</f>
        <v/>
      </c>
      <c r="J123" s="10" t="str">
        <f>IF($H123="","",DATE(YEAR($H123),MONTH($H123),1))</f>
        <v/>
      </c>
      <c r="K123" s="2"/>
      <c r="L123" s="10"/>
    </row>
    <row r="124" spans="1:12" hidden="1" x14ac:dyDescent="0.2">
      <c r="A124" s="2"/>
      <c r="B124" s="2"/>
      <c r="C124" s="2"/>
      <c r="D124" s="2"/>
      <c r="E124" s="2"/>
      <c r="F124" s="2"/>
      <c r="G124" s="2"/>
      <c r="H124" s="10"/>
      <c r="I124" s="10" t="str">
        <f>IF($H124="","",$H124-WEEKDAY($H124,2)+1)</f>
        <v/>
      </c>
      <c r="J124" s="10" t="str">
        <f>IF($H124="","",DATE(YEAR($H124),MONTH($H124),1))</f>
        <v/>
      </c>
      <c r="K124" s="2"/>
      <c r="L124" s="10"/>
    </row>
    <row r="125" spans="1:12" hidden="1" x14ac:dyDescent="0.2">
      <c r="A125" s="2"/>
      <c r="B125" s="2"/>
      <c r="C125" s="2"/>
      <c r="D125" s="2"/>
      <c r="E125" s="2"/>
      <c r="F125" s="2"/>
      <c r="G125" s="2"/>
      <c r="H125" s="10"/>
      <c r="I125" s="10" t="str">
        <f>IF($H125="","",$H125-WEEKDAY($H125,2)+1)</f>
        <v/>
      </c>
      <c r="J125" s="10" t="str">
        <f>IF($H125="","",DATE(YEAR($H125),MONTH($H125),1))</f>
        <v/>
      </c>
      <c r="K125" s="2"/>
      <c r="L125" s="10"/>
    </row>
    <row r="126" spans="1:12" hidden="1" x14ac:dyDescent="0.2">
      <c r="A126" s="2"/>
      <c r="B126" s="2"/>
      <c r="C126" s="2"/>
      <c r="D126" s="2"/>
      <c r="E126" s="2"/>
      <c r="F126" s="2"/>
      <c r="G126" s="2"/>
      <c r="H126" s="10"/>
      <c r="I126" s="10" t="str">
        <f>IF($H126="","",$H126-WEEKDAY($H126,2)+1)</f>
        <v/>
      </c>
      <c r="J126" s="10" t="str">
        <f>IF($H126="","",DATE(YEAR($H126),MONTH($H126),1))</f>
        <v/>
      </c>
      <c r="K126" s="2"/>
      <c r="L126" s="10"/>
    </row>
    <row r="127" spans="1:12" hidden="1" x14ac:dyDescent="0.2">
      <c r="A127" s="2"/>
      <c r="B127" s="2"/>
      <c r="C127" s="2"/>
      <c r="D127" s="2"/>
      <c r="E127" s="2"/>
      <c r="F127" s="2"/>
      <c r="G127" s="2"/>
      <c r="H127" s="10"/>
      <c r="I127" s="10" t="str">
        <f>IF($H127="","",$H127-WEEKDAY($H127,2)+1)</f>
        <v/>
      </c>
      <c r="J127" s="10" t="str">
        <f>IF($H127="","",DATE(YEAR($H127),MONTH($H127),1))</f>
        <v/>
      </c>
      <c r="K127" s="2"/>
      <c r="L127" s="10"/>
    </row>
    <row r="128" spans="1:12" hidden="1" x14ac:dyDescent="0.2">
      <c r="A128" s="2"/>
      <c r="B128" s="2"/>
      <c r="C128" s="2"/>
      <c r="D128" s="2"/>
      <c r="E128" s="2"/>
      <c r="F128" s="2"/>
      <c r="G128" s="2"/>
      <c r="H128" s="10"/>
      <c r="I128" s="10" t="str">
        <f>IF($H128="","",$H128-WEEKDAY($H128,2)+1)</f>
        <v/>
      </c>
      <c r="J128" s="10" t="str">
        <f>IF($H128="","",DATE(YEAR($H128),MONTH($H128),1))</f>
        <v/>
      </c>
      <c r="K128" s="2"/>
      <c r="L128" s="10"/>
    </row>
    <row r="129" spans="1:12" hidden="1" x14ac:dyDescent="0.2">
      <c r="A129" s="2"/>
      <c r="B129" s="2"/>
      <c r="C129" s="2"/>
      <c r="D129" s="2"/>
      <c r="E129" s="2"/>
      <c r="F129" s="2"/>
      <c r="G129" s="2"/>
      <c r="H129" s="10"/>
      <c r="I129" s="10" t="str">
        <f>IF($H129="","",$H129-WEEKDAY($H129,2)+1)</f>
        <v/>
      </c>
      <c r="J129" s="10" t="str">
        <f>IF($H129="","",DATE(YEAR($H129),MONTH($H129),1))</f>
        <v/>
      </c>
      <c r="K129" s="2"/>
      <c r="L129" s="10"/>
    </row>
    <row r="130" spans="1:12" hidden="1" x14ac:dyDescent="0.2">
      <c r="A130" s="2"/>
      <c r="B130" s="2"/>
      <c r="C130" s="2"/>
      <c r="D130" s="2"/>
      <c r="E130" s="2"/>
      <c r="F130" s="2"/>
      <c r="G130" s="2"/>
      <c r="H130" s="10"/>
      <c r="I130" s="10" t="str">
        <f>IF($H130="","",$H130-WEEKDAY($H130,2)+1)</f>
        <v/>
      </c>
      <c r="J130" s="10" t="str">
        <f>IF($H130="","",DATE(YEAR($H130),MONTH($H130),1))</f>
        <v/>
      </c>
      <c r="K130" s="2"/>
      <c r="L130" s="10"/>
    </row>
    <row r="131" spans="1:12" hidden="1" x14ac:dyDescent="0.2">
      <c r="A131" s="2"/>
      <c r="B131" s="2"/>
      <c r="C131" s="2"/>
      <c r="D131" s="2"/>
      <c r="E131" s="2"/>
      <c r="F131" s="2"/>
      <c r="G131" s="2"/>
      <c r="H131" s="10"/>
      <c r="I131" s="10" t="str">
        <f>IF($H131="","",$H131-WEEKDAY($H131,2)+1)</f>
        <v/>
      </c>
      <c r="J131" s="10" t="str">
        <f>IF($H131="","",DATE(YEAR($H131),MONTH($H131),1))</f>
        <v/>
      </c>
      <c r="K131" s="2"/>
      <c r="L131" s="10"/>
    </row>
    <row r="132" spans="1:12" hidden="1" x14ac:dyDescent="0.2">
      <c r="A132" s="2"/>
      <c r="B132" s="2"/>
      <c r="C132" s="2"/>
      <c r="D132" s="2"/>
      <c r="E132" s="2"/>
      <c r="F132" s="2"/>
      <c r="G132" s="2"/>
      <c r="H132" s="10"/>
      <c r="I132" s="10" t="str">
        <f>IF($H132="","",$H132-WEEKDAY($H132,2)+1)</f>
        <v/>
      </c>
      <c r="J132" s="10" t="str">
        <f>IF($H132="","",DATE(YEAR($H132),MONTH($H132),1))</f>
        <v/>
      </c>
      <c r="K132" s="2"/>
      <c r="L132" s="10"/>
    </row>
    <row r="133" spans="1:12" hidden="1" x14ac:dyDescent="0.2">
      <c r="A133" s="2"/>
      <c r="B133" s="2"/>
      <c r="C133" s="2"/>
      <c r="D133" s="2"/>
      <c r="E133" s="2"/>
      <c r="F133" s="2"/>
      <c r="G133" s="2"/>
      <c r="H133" s="10"/>
      <c r="I133" s="10" t="str">
        <f>IF($H133="","",$H133-WEEKDAY($H133,2)+1)</f>
        <v/>
      </c>
      <c r="J133" s="10" t="str">
        <f>IF($H133="","",DATE(YEAR($H133),MONTH($H133),1))</f>
        <v/>
      </c>
      <c r="K133" s="2"/>
      <c r="L133" s="10"/>
    </row>
    <row r="134" spans="1:12" hidden="1" x14ac:dyDescent="0.2">
      <c r="A134" s="2"/>
      <c r="B134" s="2"/>
      <c r="C134" s="2"/>
      <c r="D134" s="2"/>
      <c r="E134" s="2"/>
      <c r="F134" s="2"/>
      <c r="G134" s="2"/>
      <c r="H134" s="10"/>
      <c r="I134" s="10" t="str">
        <f>IF($H134="","",$H134-WEEKDAY($H134,2)+1)</f>
        <v/>
      </c>
      <c r="J134" s="10" t="str">
        <f>IF($H134="","",DATE(YEAR($H134),MONTH($H134),1))</f>
        <v/>
      </c>
      <c r="K134" s="2"/>
      <c r="L134" s="10"/>
    </row>
    <row r="135" spans="1:12" hidden="1" x14ac:dyDescent="0.2">
      <c r="A135" s="2"/>
      <c r="B135" s="2"/>
      <c r="C135" s="2"/>
      <c r="D135" s="2"/>
      <c r="E135" s="2"/>
      <c r="F135" s="2"/>
      <c r="G135" s="2"/>
      <c r="H135" s="10"/>
      <c r="I135" s="10" t="str">
        <f>IF($H135="","",$H135-WEEKDAY($H135,2)+1)</f>
        <v/>
      </c>
      <c r="J135" s="10" t="str">
        <f>IF($H135="","",DATE(YEAR($H135),MONTH($H135),1))</f>
        <v/>
      </c>
      <c r="K135" s="2"/>
      <c r="L135" s="10"/>
    </row>
    <row r="136" spans="1:12" hidden="1" x14ac:dyDescent="0.2">
      <c r="A136" s="2"/>
      <c r="B136" s="2"/>
      <c r="C136" s="2"/>
      <c r="D136" s="2"/>
      <c r="E136" s="2"/>
      <c r="F136" s="2"/>
      <c r="G136" s="2"/>
      <c r="H136" s="10"/>
      <c r="I136" s="10" t="str">
        <f>IF($H136="","",$H136-WEEKDAY($H136,2)+1)</f>
        <v/>
      </c>
      <c r="J136" s="10" t="str">
        <f>IF($H136="","",DATE(YEAR($H136),MONTH($H136),1))</f>
        <v/>
      </c>
      <c r="K136" s="2"/>
      <c r="L136" s="10"/>
    </row>
    <row r="137" spans="1:12" hidden="1" x14ac:dyDescent="0.2">
      <c r="A137" s="2"/>
      <c r="B137" s="2"/>
      <c r="C137" s="2"/>
      <c r="D137" s="2"/>
      <c r="E137" s="2"/>
      <c r="F137" s="2"/>
      <c r="G137" s="2"/>
      <c r="H137" s="10"/>
      <c r="I137" s="10" t="str">
        <f>IF($H137="","",$H137-WEEKDAY($H137,2)+1)</f>
        <v/>
      </c>
      <c r="J137" s="10" t="str">
        <f>IF($H137="","",DATE(YEAR($H137),MONTH($H137),1))</f>
        <v/>
      </c>
      <c r="K137" s="2"/>
      <c r="L137" s="10"/>
    </row>
    <row r="138" spans="1:12" hidden="1" x14ac:dyDescent="0.2">
      <c r="A138" s="2"/>
      <c r="B138" s="2"/>
      <c r="C138" s="2"/>
      <c r="D138" s="2"/>
      <c r="E138" s="2"/>
      <c r="F138" s="2"/>
      <c r="G138" s="2"/>
      <c r="H138" s="10"/>
      <c r="I138" s="10" t="str">
        <f>IF($H138="","",$H138-WEEKDAY($H138,2)+1)</f>
        <v/>
      </c>
      <c r="J138" s="10" t="str">
        <f>IF($H138="","",DATE(YEAR($H138),MONTH($H138),1))</f>
        <v/>
      </c>
      <c r="K138" s="2"/>
      <c r="L138" s="10"/>
    </row>
    <row r="139" spans="1:12" hidden="1" x14ac:dyDescent="0.2">
      <c r="A139" s="2"/>
      <c r="B139" s="2"/>
      <c r="C139" s="2"/>
      <c r="D139" s="2"/>
      <c r="E139" s="2"/>
      <c r="F139" s="2"/>
      <c r="G139" s="2"/>
      <c r="H139" s="10"/>
      <c r="I139" s="10" t="str">
        <f>IF($H139="","",$H139-WEEKDAY($H139,2)+1)</f>
        <v/>
      </c>
      <c r="J139" s="10" t="str">
        <f>IF($H139="","",DATE(YEAR($H139),MONTH($H139),1))</f>
        <v/>
      </c>
      <c r="K139" s="2"/>
      <c r="L139" s="10"/>
    </row>
    <row r="140" spans="1:12" hidden="1" x14ac:dyDescent="0.2">
      <c r="A140" s="2"/>
      <c r="B140" s="2"/>
      <c r="C140" s="2"/>
      <c r="D140" s="2"/>
      <c r="E140" s="2"/>
      <c r="F140" s="2"/>
      <c r="G140" s="2"/>
      <c r="H140" s="10"/>
      <c r="I140" s="10" t="str">
        <f>IF($H140="","",$H140-WEEKDAY($H140,2)+1)</f>
        <v/>
      </c>
      <c r="J140" s="10" t="str">
        <f>IF($H140="","",DATE(YEAR($H140),MONTH($H140),1))</f>
        <v/>
      </c>
      <c r="K140" s="2"/>
      <c r="L140" s="10"/>
    </row>
    <row r="141" spans="1:12" hidden="1" x14ac:dyDescent="0.2">
      <c r="A141" s="2"/>
      <c r="B141" s="2"/>
      <c r="C141" s="2"/>
      <c r="D141" s="2"/>
      <c r="E141" s="2"/>
      <c r="F141" s="2"/>
      <c r="G141" s="2"/>
      <c r="H141" s="10"/>
      <c r="I141" s="10" t="str">
        <f>IF($H141="","",$H141-WEEKDAY($H141,2)+1)</f>
        <v/>
      </c>
      <c r="J141" s="10" t="str">
        <f>IF($H141="","",DATE(YEAR($H141),MONTH($H141),1))</f>
        <v/>
      </c>
      <c r="K141" s="2"/>
      <c r="L141" s="10"/>
    </row>
    <row r="142" spans="1:12" hidden="1" x14ac:dyDescent="0.2">
      <c r="A142" s="2"/>
      <c r="B142" s="2"/>
      <c r="C142" s="2"/>
      <c r="D142" s="2"/>
      <c r="E142" s="2"/>
      <c r="F142" s="2"/>
      <c r="G142" s="2"/>
      <c r="H142" s="10"/>
      <c r="I142" s="10" t="str">
        <f>IF($H142="","",$H142-WEEKDAY($H142,2)+1)</f>
        <v/>
      </c>
      <c r="J142" s="10" t="str">
        <f>IF($H142="","",DATE(YEAR($H142),MONTH($H142),1))</f>
        <v/>
      </c>
      <c r="K142" s="2"/>
      <c r="L142" s="10"/>
    </row>
    <row r="143" spans="1:12" hidden="1" x14ac:dyDescent="0.2">
      <c r="A143" s="2"/>
      <c r="B143" s="2"/>
      <c r="C143" s="2"/>
      <c r="D143" s="2"/>
      <c r="E143" s="2"/>
      <c r="F143" s="2"/>
      <c r="G143" s="2"/>
      <c r="H143" s="10"/>
      <c r="I143" s="10" t="str">
        <f>IF($H143="","",$H143-WEEKDAY($H143,2)+1)</f>
        <v/>
      </c>
      <c r="J143" s="10" t="str">
        <f>IF($H143="","",DATE(YEAR($H143),MONTH($H143),1))</f>
        <v/>
      </c>
      <c r="K143" s="2"/>
      <c r="L143" s="10"/>
    </row>
    <row r="144" spans="1:12" hidden="1" x14ac:dyDescent="0.2">
      <c r="A144" s="2"/>
      <c r="B144" s="2"/>
      <c r="C144" s="2"/>
      <c r="D144" s="2"/>
      <c r="E144" s="2"/>
      <c r="F144" s="2"/>
      <c r="G144" s="2"/>
      <c r="H144" s="10"/>
      <c r="I144" s="10" t="str">
        <f>IF($H144="","",$H144-WEEKDAY($H144,2)+1)</f>
        <v/>
      </c>
      <c r="J144" s="10" t="str">
        <f>IF($H144="","",DATE(YEAR($H144),MONTH($H144),1))</f>
        <v/>
      </c>
      <c r="K144" s="2"/>
      <c r="L144" s="10"/>
    </row>
    <row r="145" spans="1:12" hidden="1" x14ac:dyDescent="0.2">
      <c r="A145" s="2"/>
      <c r="B145" s="2"/>
      <c r="C145" s="2"/>
      <c r="D145" s="2"/>
      <c r="E145" s="2"/>
      <c r="F145" s="2"/>
      <c r="G145" s="2"/>
      <c r="H145" s="10"/>
      <c r="I145" s="10" t="str">
        <f>IF($H145="","",$H145-WEEKDAY($H145,2)+1)</f>
        <v/>
      </c>
      <c r="J145" s="10" t="str">
        <f>IF($H145="","",DATE(YEAR($H145),MONTH($H145),1))</f>
        <v/>
      </c>
      <c r="K145" s="2"/>
      <c r="L145" s="10"/>
    </row>
    <row r="146" spans="1:12" hidden="1" x14ac:dyDescent="0.2">
      <c r="A146" s="2"/>
      <c r="B146" s="2"/>
      <c r="C146" s="2"/>
      <c r="D146" s="2"/>
      <c r="E146" s="2"/>
      <c r="F146" s="2"/>
      <c r="G146" s="2"/>
      <c r="H146" s="10"/>
      <c r="I146" s="10" t="str">
        <f>IF($H146="","",$H146-WEEKDAY($H146,2)+1)</f>
        <v/>
      </c>
      <c r="J146" s="10" t="str">
        <f>IF($H146="","",DATE(YEAR($H146),MONTH($H146),1))</f>
        <v/>
      </c>
      <c r="K146" s="2"/>
      <c r="L146" s="10"/>
    </row>
    <row r="147" spans="1:12" hidden="1" x14ac:dyDescent="0.2">
      <c r="A147" s="2"/>
      <c r="B147" s="2"/>
      <c r="C147" s="2"/>
      <c r="D147" s="2"/>
      <c r="E147" s="2"/>
      <c r="F147" s="2"/>
      <c r="G147" s="2"/>
      <c r="H147" s="10"/>
      <c r="I147" s="10" t="str">
        <f>IF($H147="","",$H147-WEEKDAY($H147,2)+1)</f>
        <v/>
      </c>
      <c r="J147" s="10" t="str">
        <f>IF($H147="","",DATE(YEAR($H147),MONTH($H147),1))</f>
        <v/>
      </c>
      <c r="K147" s="2"/>
      <c r="L147" s="10"/>
    </row>
    <row r="148" spans="1:12" hidden="1" x14ac:dyDescent="0.2">
      <c r="A148" s="2"/>
      <c r="B148" s="2"/>
      <c r="C148" s="2"/>
      <c r="D148" s="2"/>
      <c r="E148" s="2"/>
      <c r="F148" s="2"/>
      <c r="G148" s="2"/>
      <c r="H148" s="10"/>
      <c r="I148" s="10" t="str">
        <f>IF($H148="","",$H148-WEEKDAY($H148,2)+1)</f>
        <v/>
      </c>
      <c r="J148" s="10" t="str">
        <f>IF($H148="","",DATE(YEAR($H148),MONTH($H148),1))</f>
        <v/>
      </c>
      <c r="K148" s="2"/>
      <c r="L148" s="10"/>
    </row>
    <row r="149" spans="1:12" hidden="1" x14ac:dyDescent="0.2">
      <c r="A149" s="2"/>
      <c r="B149" s="2"/>
      <c r="C149" s="2"/>
      <c r="D149" s="2"/>
      <c r="E149" s="2"/>
      <c r="F149" s="2"/>
      <c r="G149" s="2"/>
      <c r="H149" s="10"/>
      <c r="I149" s="10" t="str">
        <f>IF($H149="","",$H149-WEEKDAY($H149,2)+1)</f>
        <v/>
      </c>
      <c r="J149" s="10" t="str">
        <f>IF($H149="","",DATE(YEAR($H149),MONTH($H149),1))</f>
        <v/>
      </c>
      <c r="K149" s="2"/>
      <c r="L149" s="10"/>
    </row>
    <row r="150" spans="1:12" hidden="1" x14ac:dyDescent="0.2">
      <c r="A150" s="2"/>
      <c r="B150" s="2"/>
      <c r="C150" s="2"/>
      <c r="D150" s="2"/>
      <c r="E150" s="2"/>
      <c r="F150" s="2"/>
      <c r="G150" s="2"/>
      <c r="H150" s="10"/>
      <c r="I150" s="10" t="str">
        <f>IF($H150="","",$H150-WEEKDAY($H150,2)+1)</f>
        <v/>
      </c>
      <c r="J150" s="10" t="str">
        <f>IF($H150="","",DATE(YEAR($H150),MONTH($H150),1))</f>
        <v/>
      </c>
      <c r="K150" s="2"/>
      <c r="L150" s="10"/>
    </row>
    <row r="151" spans="1:12" hidden="1" x14ac:dyDescent="0.2">
      <c r="A151" s="2"/>
      <c r="B151" s="2"/>
      <c r="C151" s="2"/>
      <c r="D151" s="2"/>
      <c r="E151" s="2"/>
      <c r="F151" s="2"/>
      <c r="G151" s="2"/>
      <c r="H151" s="10"/>
      <c r="I151" s="10" t="str">
        <f>IF($H151="","",$H151-WEEKDAY($H151,2)+1)</f>
        <v/>
      </c>
      <c r="J151" s="10" t="str">
        <f>IF($H151="","",DATE(YEAR($H151),MONTH($H151),1))</f>
        <v/>
      </c>
      <c r="K151" s="2"/>
      <c r="L151" s="10"/>
    </row>
    <row r="152" spans="1:12" hidden="1" x14ac:dyDescent="0.2">
      <c r="A152" s="2"/>
      <c r="B152" s="2"/>
      <c r="C152" s="2"/>
      <c r="D152" s="2"/>
      <c r="E152" s="2"/>
      <c r="F152" s="2"/>
      <c r="G152" s="2"/>
      <c r="H152" s="10"/>
      <c r="I152" s="10" t="str">
        <f>IF($H152="","",$H152-WEEKDAY($H152,2)+1)</f>
        <v/>
      </c>
      <c r="J152" s="10" t="str">
        <f>IF($H152="","",DATE(YEAR($H152),MONTH($H152),1))</f>
        <v/>
      </c>
      <c r="K152" s="2"/>
      <c r="L152" s="10"/>
    </row>
    <row r="153" spans="1:12" hidden="1" x14ac:dyDescent="0.2">
      <c r="A153" s="2"/>
      <c r="B153" s="2"/>
      <c r="C153" s="2"/>
      <c r="D153" s="2"/>
      <c r="E153" s="2"/>
      <c r="F153" s="2"/>
      <c r="G153" s="2"/>
      <c r="H153" s="10"/>
      <c r="I153" s="10" t="str">
        <f>IF($H153="","",$H153-WEEKDAY($H153,2)+1)</f>
        <v/>
      </c>
      <c r="J153" s="10" t="str">
        <f>IF($H153="","",DATE(YEAR($H153),MONTH($H153),1))</f>
        <v/>
      </c>
      <c r="K153" s="2"/>
      <c r="L153" s="10"/>
    </row>
    <row r="154" spans="1:12" hidden="1" x14ac:dyDescent="0.2">
      <c r="A154" s="2"/>
      <c r="B154" s="2"/>
      <c r="C154" s="2"/>
      <c r="D154" s="2"/>
      <c r="E154" s="2"/>
      <c r="F154" s="2"/>
      <c r="G154" s="2"/>
      <c r="H154" s="10"/>
      <c r="I154" s="10" t="str">
        <f>IF($H154="","",$H154-WEEKDAY($H154,2)+1)</f>
        <v/>
      </c>
      <c r="J154" s="10" t="str">
        <f>IF($H154="","",DATE(YEAR($H154),MONTH($H154),1))</f>
        <v/>
      </c>
      <c r="K154" s="2"/>
      <c r="L154" s="10"/>
    </row>
    <row r="155" spans="1:12" hidden="1" x14ac:dyDescent="0.2">
      <c r="A155" s="2"/>
      <c r="B155" s="2"/>
      <c r="C155" s="2"/>
      <c r="D155" s="2"/>
      <c r="E155" s="2"/>
      <c r="F155" s="2"/>
      <c r="G155" s="2"/>
      <c r="H155" s="10"/>
      <c r="I155" s="10" t="str">
        <f>IF($H155="","",$H155-WEEKDAY($H155,2)+1)</f>
        <v/>
      </c>
      <c r="J155" s="10" t="str">
        <f>IF($H155="","",DATE(YEAR($H155),MONTH($H155),1))</f>
        <v/>
      </c>
      <c r="K155" s="2"/>
      <c r="L155" s="10"/>
    </row>
    <row r="156" spans="1:12" hidden="1" x14ac:dyDescent="0.2">
      <c r="A156" s="2"/>
      <c r="B156" s="2"/>
      <c r="C156" s="2"/>
      <c r="D156" s="2"/>
      <c r="E156" s="2"/>
      <c r="F156" s="2"/>
      <c r="G156" s="2"/>
      <c r="H156" s="10"/>
      <c r="I156" s="10" t="str">
        <f>IF($H156="","",$H156-WEEKDAY($H156,2)+1)</f>
        <v/>
      </c>
      <c r="J156" s="10" t="str">
        <f>IF($H156="","",DATE(YEAR($H156),MONTH($H156),1))</f>
        <v/>
      </c>
      <c r="K156" s="2"/>
      <c r="L156" s="10"/>
    </row>
    <row r="157" spans="1:12" hidden="1" x14ac:dyDescent="0.2">
      <c r="A157" s="2"/>
      <c r="B157" s="2"/>
      <c r="C157" s="2"/>
      <c r="D157" s="2"/>
      <c r="E157" s="2"/>
      <c r="F157" s="2"/>
      <c r="G157" s="2"/>
      <c r="H157" s="10"/>
      <c r="I157" s="10" t="str">
        <f>IF($H157="","",$H157-WEEKDAY($H157,2)+1)</f>
        <v/>
      </c>
      <c r="J157" s="10" t="str">
        <f>IF($H157="","",DATE(YEAR($H157),MONTH($H157),1))</f>
        <v/>
      </c>
      <c r="K157" s="2"/>
      <c r="L157" s="10"/>
    </row>
    <row r="158" spans="1:12" hidden="1" x14ac:dyDescent="0.2">
      <c r="A158" s="2"/>
      <c r="B158" s="2"/>
      <c r="C158" s="2"/>
      <c r="D158" s="2"/>
      <c r="E158" s="2"/>
      <c r="F158" s="2"/>
      <c r="G158" s="2"/>
      <c r="H158" s="10"/>
      <c r="I158" s="10" t="str">
        <f>IF($H158="","",$H158-WEEKDAY($H158,2)+1)</f>
        <v/>
      </c>
      <c r="J158" s="10" t="str">
        <f>IF($H158="","",DATE(YEAR($H158),MONTH($H158),1))</f>
        <v/>
      </c>
      <c r="K158" s="2"/>
      <c r="L158" s="10"/>
    </row>
    <row r="159" spans="1:12" hidden="1" x14ac:dyDescent="0.2">
      <c r="A159" s="2"/>
      <c r="B159" s="2"/>
      <c r="C159" s="2"/>
      <c r="D159" s="2"/>
      <c r="E159" s="2"/>
      <c r="F159" s="2"/>
      <c r="G159" s="2"/>
      <c r="H159" s="10"/>
      <c r="I159" s="10" t="str">
        <f>IF($H159="","",$H159-WEEKDAY($H159,2)+1)</f>
        <v/>
      </c>
      <c r="J159" s="10" t="str">
        <f>IF($H159="","",DATE(YEAR($H159),MONTH($H159),1))</f>
        <v/>
      </c>
      <c r="K159" s="2"/>
      <c r="L159" s="10"/>
    </row>
    <row r="160" spans="1:12" hidden="1" x14ac:dyDescent="0.2">
      <c r="A160" s="2"/>
      <c r="B160" s="2"/>
      <c r="C160" s="2"/>
      <c r="D160" s="2"/>
      <c r="E160" s="2"/>
      <c r="F160" s="2"/>
      <c r="G160" s="2"/>
      <c r="H160" s="10"/>
      <c r="I160" s="10" t="str">
        <f>IF($H160="","",$H160-WEEKDAY($H160,2)+1)</f>
        <v/>
      </c>
      <c r="J160" s="10" t="str">
        <f>IF($H160="","",DATE(YEAR($H160),MONTH($H160),1))</f>
        <v/>
      </c>
      <c r="K160" s="2"/>
      <c r="L160" s="10"/>
    </row>
    <row r="161" spans="1:12" hidden="1" x14ac:dyDescent="0.2">
      <c r="A161" s="2"/>
      <c r="B161" s="2"/>
      <c r="C161" s="2"/>
      <c r="D161" s="2"/>
      <c r="E161" s="2"/>
      <c r="F161" s="2"/>
      <c r="G161" s="2"/>
      <c r="H161" s="10"/>
      <c r="I161" s="10" t="str">
        <f>IF($H161="","",$H161-WEEKDAY($H161,2)+1)</f>
        <v/>
      </c>
      <c r="J161" s="10" t="str">
        <f>IF($H161="","",DATE(YEAR($H161),MONTH($H161),1))</f>
        <v/>
      </c>
      <c r="K161" s="2"/>
      <c r="L161" s="10"/>
    </row>
    <row r="162" spans="1:12" hidden="1" x14ac:dyDescent="0.2">
      <c r="A162" s="2"/>
      <c r="B162" s="2"/>
      <c r="C162" s="2"/>
      <c r="D162" s="2"/>
      <c r="E162" s="2"/>
      <c r="F162" s="2"/>
      <c r="G162" s="2"/>
      <c r="H162" s="10"/>
      <c r="I162" s="10" t="str">
        <f>IF($H162="","",$H162-WEEKDAY($H162,2)+1)</f>
        <v/>
      </c>
      <c r="J162" s="10" t="str">
        <f>IF($H162="","",DATE(YEAR($H162),MONTH($H162),1))</f>
        <v/>
      </c>
      <c r="K162" s="2"/>
      <c r="L162" s="10"/>
    </row>
    <row r="163" spans="1:12" hidden="1" x14ac:dyDescent="0.2">
      <c r="A163" s="2"/>
      <c r="B163" s="2"/>
      <c r="C163" s="2"/>
      <c r="D163" s="2"/>
      <c r="E163" s="2"/>
      <c r="F163" s="2"/>
      <c r="G163" s="2"/>
      <c r="H163" s="10"/>
      <c r="I163" s="10" t="str">
        <f>IF($H163="","",$H163-WEEKDAY($H163,2)+1)</f>
        <v/>
      </c>
      <c r="J163" s="10" t="str">
        <f>IF($H163="","",DATE(YEAR($H163),MONTH($H163),1))</f>
        <v/>
      </c>
      <c r="K163" s="2"/>
      <c r="L163" s="10"/>
    </row>
    <row r="164" spans="1:12" hidden="1" x14ac:dyDescent="0.2">
      <c r="A164" s="2"/>
      <c r="B164" s="2"/>
      <c r="C164" s="2"/>
      <c r="D164" s="2"/>
      <c r="E164" s="2"/>
      <c r="F164" s="2"/>
      <c r="G164" s="2"/>
      <c r="H164" s="10"/>
      <c r="I164" s="10" t="str">
        <f>IF($H164="","",$H164-WEEKDAY($H164,2)+1)</f>
        <v/>
      </c>
      <c r="J164" s="10" t="str">
        <f>IF($H164="","",DATE(YEAR($H164),MONTH($H164),1))</f>
        <v/>
      </c>
      <c r="K164" s="2"/>
      <c r="L164" s="10"/>
    </row>
    <row r="165" spans="1:12" hidden="1" x14ac:dyDescent="0.2">
      <c r="A165" s="2"/>
      <c r="B165" s="2"/>
      <c r="C165" s="2"/>
      <c r="D165" s="2"/>
      <c r="E165" s="2"/>
      <c r="F165" s="2"/>
      <c r="G165" s="2"/>
      <c r="H165" s="10"/>
      <c r="I165" s="10" t="str">
        <f>IF($H165="","",$H165-WEEKDAY($H165,2)+1)</f>
        <v/>
      </c>
      <c r="J165" s="10" t="str">
        <f>IF($H165="","",DATE(YEAR($H165),MONTH($H165),1))</f>
        <v/>
      </c>
      <c r="K165" s="2"/>
      <c r="L165" s="10"/>
    </row>
    <row r="166" spans="1:12" hidden="1" x14ac:dyDescent="0.2">
      <c r="A166" s="2"/>
      <c r="B166" s="2"/>
      <c r="C166" s="2"/>
      <c r="D166" s="2"/>
      <c r="E166" s="2"/>
      <c r="F166" s="2"/>
      <c r="G166" s="2"/>
      <c r="H166" s="10"/>
      <c r="I166" s="10" t="str">
        <f>IF($H166="","",$H166-WEEKDAY($H166,2)+1)</f>
        <v/>
      </c>
      <c r="J166" s="10" t="str">
        <f>IF($H166="","",DATE(YEAR($H166),MONTH($H166),1))</f>
        <v/>
      </c>
      <c r="K166" s="2"/>
      <c r="L166" s="10"/>
    </row>
    <row r="167" spans="1:12" hidden="1" x14ac:dyDescent="0.2">
      <c r="A167" s="2"/>
      <c r="B167" s="2"/>
      <c r="C167" s="2"/>
      <c r="D167" s="2"/>
      <c r="E167" s="2"/>
      <c r="F167" s="2"/>
      <c r="G167" s="2"/>
      <c r="H167" s="10"/>
      <c r="I167" s="10" t="str">
        <f>IF($H167="","",$H167-WEEKDAY($H167,2)+1)</f>
        <v/>
      </c>
      <c r="J167" s="10" t="str">
        <f>IF($H167="","",DATE(YEAR($H167),MONTH($H167),1))</f>
        <v/>
      </c>
      <c r="K167" s="2"/>
      <c r="L167" s="10"/>
    </row>
    <row r="168" spans="1:12" hidden="1" x14ac:dyDescent="0.2">
      <c r="A168" s="2"/>
      <c r="B168" s="2"/>
      <c r="C168" s="2"/>
      <c r="D168" s="2"/>
      <c r="E168" s="2"/>
      <c r="F168" s="2"/>
      <c r="G168" s="2"/>
      <c r="H168" s="10"/>
      <c r="I168" s="10" t="str">
        <f>IF($H168="","",$H168-WEEKDAY($H168,2)+1)</f>
        <v/>
      </c>
      <c r="J168" s="10" t="str">
        <f>IF($H168="","",DATE(YEAR($H168),MONTH($H168),1))</f>
        <v/>
      </c>
      <c r="K168" s="2"/>
      <c r="L168" s="10"/>
    </row>
    <row r="169" spans="1:12" hidden="1" x14ac:dyDescent="0.2">
      <c r="A169" s="2"/>
      <c r="B169" s="2"/>
      <c r="C169" s="2"/>
      <c r="D169" s="2"/>
      <c r="E169" s="2"/>
      <c r="F169" s="2"/>
      <c r="G169" s="2"/>
      <c r="H169" s="10"/>
      <c r="I169" s="10" t="str">
        <f>IF($H169="","",$H169-WEEKDAY($H169,2)+1)</f>
        <v/>
      </c>
      <c r="J169" s="10" t="str">
        <f>IF($H169="","",DATE(YEAR($H169),MONTH($H169),1))</f>
        <v/>
      </c>
      <c r="K169" s="2"/>
      <c r="L169" s="10"/>
    </row>
    <row r="170" spans="1:12" hidden="1" x14ac:dyDescent="0.2">
      <c r="A170" s="2"/>
      <c r="B170" s="2"/>
      <c r="C170" s="2"/>
      <c r="D170" s="2"/>
      <c r="E170" s="2"/>
      <c r="F170" s="2"/>
      <c r="G170" s="2"/>
      <c r="H170" s="10"/>
      <c r="I170" s="10" t="str">
        <f>IF($H170="","",$H170-WEEKDAY($H170,2)+1)</f>
        <v/>
      </c>
      <c r="J170" s="10" t="str">
        <f>IF($H170="","",DATE(YEAR($H170),MONTH($H170),1))</f>
        <v/>
      </c>
      <c r="K170" s="2"/>
      <c r="L170" s="10"/>
    </row>
    <row r="171" spans="1:12" hidden="1" x14ac:dyDescent="0.2">
      <c r="A171" s="2"/>
      <c r="B171" s="2"/>
      <c r="C171" s="2"/>
      <c r="D171" s="2"/>
      <c r="E171" s="2"/>
      <c r="F171" s="2"/>
      <c r="G171" s="2"/>
      <c r="H171" s="10"/>
      <c r="I171" s="10" t="str">
        <f>IF($H171="","",$H171-WEEKDAY($H171,2)+1)</f>
        <v/>
      </c>
      <c r="J171" s="10" t="str">
        <f>IF($H171="","",DATE(YEAR($H171),MONTH($H171),1))</f>
        <v/>
      </c>
      <c r="K171" s="2"/>
      <c r="L171" s="10"/>
    </row>
    <row r="172" spans="1:12" hidden="1" x14ac:dyDescent="0.2">
      <c r="A172" s="2"/>
      <c r="B172" s="2"/>
      <c r="C172" s="2"/>
      <c r="D172" s="2"/>
      <c r="E172" s="2"/>
      <c r="F172" s="2"/>
      <c r="G172" s="2"/>
      <c r="H172" s="10"/>
      <c r="I172" s="10" t="str">
        <f>IF($H172="","",$H172-WEEKDAY($H172,2)+1)</f>
        <v/>
      </c>
      <c r="J172" s="10" t="str">
        <f>IF($H172="","",DATE(YEAR($H172),MONTH($H172),1))</f>
        <v/>
      </c>
      <c r="K172" s="2"/>
      <c r="L172" s="10"/>
    </row>
    <row r="173" spans="1:12" hidden="1" x14ac:dyDescent="0.2">
      <c r="A173" s="2"/>
      <c r="B173" s="2"/>
      <c r="C173" s="2"/>
      <c r="D173" s="2"/>
      <c r="E173" s="2"/>
      <c r="F173" s="2"/>
      <c r="G173" s="2"/>
      <c r="H173" s="10"/>
      <c r="I173" s="10" t="str">
        <f>IF($H173="","",$H173-WEEKDAY($H173,2)+1)</f>
        <v/>
      </c>
      <c r="J173" s="10" t="str">
        <f>IF($H173="","",DATE(YEAR($H173),MONTH($H173),1))</f>
        <v/>
      </c>
      <c r="K173" s="2"/>
      <c r="L173" s="10"/>
    </row>
    <row r="174" spans="1:12" hidden="1" x14ac:dyDescent="0.2">
      <c r="A174" s="2"/>
      <c r="B174" s="2"/>
      <c r="C174" s="2"/>
      <c r="D174" s="2"/>
      <c r="E174" s="2"/>
      <c r="F174" s="2"/>
      <c r="G174" s="2"/>
      <c r="H174" s="10"/>
      <c r="I174" s="10" t="str">
        <f>IF($H174="","",$H174-WEEKDAY($H174,2)+1)</f>
        <v/>
      </c>
      <c r="J174" s="10" t="str">
        <f>IF($H174="","",DATE(YEAR($H174),MONTH($H174),1))</f>
        <v/>
      </c>
      <c r="K174" s="2"/>
      <c r="L174" s="10"/>
    </row>
    <row r="175" spans="1:12" hidden="1" x14ac:dyDescent="0.2">
      <c r="A175" s="2"/>
      <c r="B175" s="2"/>
      <c r="C175" s="2"/>
      <c r="D175" s="2"/>
      <c r="E175" s="2"/>
      <c r="F175" s="2"/>
      <c r="G175" s="2"/>
      <c r="H175" s="10"/>
      <c r="I175" s="10" t="str">
        <f>IF($H175="","",$H175-WEEKDAY($H175,2)+1)</f>
        <v/>
      </c>
      <c r="J175" s="10" t="str">
        <f>IF($H175="","",DATE(YEAR($H175),MONTH($H175),1))</f>
        <v/>
      </c>
      <c r="K175" s="2"/>
      <c r="L175" s="10"/>
    </row>
    <row r="176" spans="1:12" hidden="1" x14ac:dyDescent="0.2">
      <c r="A176" s="2"/>
      <c r="B176" s="2"/>
      <c r="C176" s="2"/>
      <c r="D176" s="2"/>
      <c r="E176" s="2"/>
      <c r="F176" s="2"/>
      <c r="G176" s="2"/>
      <c r="H176" s="10"/>
      <c r="I176" s="10" t="str">
        <f>IF($H176="","",$H176-WEEKDAY($H176,2)+1)</f>
        <v/>
      </c>
      <c r="J176" s="10" t="str">
        <f>IF($H176="","",DATE(YEAR($H176),MONTH($H176),1))</f>
        <v/>
      </c>
      <c r="K176" s="2"/>
      <c r="L176" s="10"/>
    </row>
    <row r="177" spans="1:12" hidden="1" x14ac:dyDescent="0.2">
      <c r="A177" s="2"/>
      <c r="B177" s="2"/>
      <c r="C177" s="2"/>
      <c r="D177" s="2"/>
      <c r="E177" s="2"/>
      <c r="F177" s="2"/>
      <c r="G177" s="2"/>
      <c r="H177" s="10"/>
      <c r="I177" s="10" t="str">
        <f>IF($H177="","",$H177-WEEKDAY($H177,2)+1)</f>
        <v/>
      </c>
      <c r="J177" s="10" t="str">
        <f>IF($H177="","",DATE(YEAR($H177),MONTH($H177),1))</f>
        <v/>
      </c>
      <c r="K177" s="2"/>
      <c r="L177" s="10"/>
    </row>
    <row r="178" spans="1:12" hidden="1" x14ac:dyDescent="0.2">
      <c r="A178" s="2"/>
      <c r="B178" s="2"/>
      <c r="C178" s="2"/>
      <c r="D178" s="2"/>
      <c r="E178" s="2"/>
      <c r="F178" s="2"/>
      <c r="G178" s="2"/>
      <c r="H178" s="10"/>
      <c r="I178" s="10" t="str">
        <f>IF($H178="","",$H178-WEEKDAY($H178,2)+1)</f>
        <v/>
      </c>
      <c r="J178" s="10" t="str">
        <f>IF($H178="","",DATE(YEAR($H178),MONTH($H178),1))</f>
        <v/>
      </c>
      <c r="K178" s="2"/>
      <c r="L178" s="10"/>
    </row>
    <row r="179" spans="1:12" hidden="1" x14ac:dyDescent="0.2">
      <c r="A179" s="2"/>
      <c r="B179" s="2"/>
      <c r="C179" s="2"/>
      <c r="D179" s="2"/>
      <c r="E179" s="2"/>
      <c r="F179" s="2"/>
      <c r="G179" s="2"/>
      <c r="H179" s="10"/>
      <c r="I179" s="10" t="str">
        <f>IF($H179="","",$H179-WEEKDAY($H179,2)+1)</f>
        <v/>
      </c>
      <c r="J179" s="10" t="str">
        <f>IF($H179="","",DATE(YEAR($H179),MONTH($H179),1))</f>
        <v/>
      </c>
      <c r="K179" s="2"/>
      <c r="L179" s="10"/>
    </row>
    <row r="180" spans="1:12" hidden="1" x14ac:dyDescent="0.2">
      <c r="A180" s="2"/>
      <c r="B180" s="2"/>
      <c r="C180" s="2"/>
      <c r="D180" s="2"/>
      <c r="E180" s="2"/>
      <c r="F180" s="2"/>
      <c r="G180" s="2"/>
      <c r="H180" s="10"/>
      <c r="I180" s="10" t="str">
        <f>IF($H180="","",$H180-WEEKDAY($H180,2)+1)</f>
        <v/>
      </c>
      <c r="J180" s="10" t="str">
        <f>IF($H180="","",DATE(YEAR($H180),MONTH($H180),1))</f>
        <v/>
      </c>
      <c r="K180" s="2"/>
      <c r="L180" s="10"/>
    </row>
    <row r="181" spans="1:12" hidden="1" x14ac:dyDescent="0.2">
      <c r="A181" s="2"/>
      <c r="B181" s="2"/>
      <c r="C181" s="2"/>
      <c r="D181" s="2"/>
      <c r="E181" s="2"/>
      <c r="F181" s="2"/>
      <c r="G181" s="2"/>
      <c r="H181" s="10"/>
      <c r="I181" s="10" t="str">
        <f>IF($H181="","",$H181-WEEKDAY($H181,2)+1)</f>
        <v/>
      </c>
      <c r="J181" s="10" t="str">
        <f>IF($H181="","",DATE(YEAR($H181),MONTH($H181),1))</f>
        <v/>
      </c>
      <c r="K181" s="2"/>
      <c r="L181" s="10"/>
    </row>
    <row r="182" spans="1:12" hidden="1" x14ac:dyDescent="0.2">
      <c r="A182" s="2"/>
      <c r="B182" s="2"/>
      <c r="C182" s="2"/>
      <c r="D182" s="2"/>
      <c r="E182" s="2"/>
      <c r="F182" s="2"/>
      <c r="G182" s="2"/>
      <c r="H182" s="10"/>
      <c r="I182" s="10" t="str">
        <f>IF($H182="","",$H182-WEEKDAY($H182,2)+1)</f>
        <v/>
      </c>
      <c r="J182" s="10" t="str">
        <f>IF($H182="","",DATE(YEAR($H182),MONTH($H182),1))</f>
        <v/>
      </c>
      <c r="K182" s="2"/>
      <c r="L182" s="10"/>
    </row>
    <row r="183" spans="1:12" hidden="1" x14ac:dyDescent="0.2">
      <c r="A183" s="2"/>
      <c r="B183" s="2"/>
      <c r="C183" s="2"/>
      <c r="D183" s="2"/>
      <c r="E183" s="2"/>
      <c r="F183" s="2"/>
      <c r="G183" s="2"/>
      <c r="H183" s="10"/>
      <c r="I183" s="10" t="str">
        <f>IF($H183="","",$H183-WEEKDAY($H183,2)+1)</f>
        <v/>
      </c>
      <c r="J183" s="10" t="str">
        <f>IF($H183="","",DATE(YEAR($H183),MONTH($H183),1))</f>
        <v/>
      </c>
      <c r="K183" s="2"/>
      <c r="L183" s="10"/>
    </row>
    <row r="184" spans="1:12" hidden="1" x14ac:dyDescent="0.2">
      <c r="A184" s="2"/>
      <c r="B184" s="2"/>
      <c r="C184" s="2"/>
      <c r="D184" s="2"/>
      <c r="E184" s="2"/>
      <c r="F184" s="2"/>
      <c r="G184" s="2"/>
      <c r="H184" s="10"/>
      <c r="I184" s="10" t="str">
        <f>IF($H184="","",$H184-WEEKDAY($H184,2)+1)</f>
        <v/>
      </c>
      <c r="J184" s="10" t="str">
        <f>IF($H184="","",DATE(YEAR($H184),MONTH($H184),1))</f>
        <v/>
      </c>
      <c r="K184" s="2"/>
      <c r="L184" s="10"/>
    </row>
    <row r="185" spans="1:12" hidden="1" x14ac:dyDescent="0.2">
      <c r="A185" s="2"/>
      <c r="B185" s="2"/>
      <c r="C185" s="2"/>
      <c r="D185" s="2"/>
      <c r="E185" s="2"/>
      <c r="F185" s="2"/>
      <c r="G185" s="2"/>
      <c r="H185" s="10"/>
      <c r="I185" s="10" t="str">
        <f>IF($H185="","",$H185-WEEKDAY($H185,2)+1)</f>
        <v/>
      </c>
      <c r="J185" s="10" t="str">
        <f>IF($H185="","",DATE(YEAR($H185),MONTH($H185),1))</f>
        <v/>
      </c>
      <c r="K185" s="2"/>
      <c r="L185" s="10"/>
    </row>
    <row r="186" spans="1:12" hidden="1" x14ac:dyDescent="0.2">
      <c r="A186" s="2"/>
      <c r="B186" s="2"/>
      <c r="C186" s="2"/>
      <c r="D186" s="2"/>
      <c r="E186" s="2"/>
      <c r="F186" s="2"/>
      <c r="G186" s="2"/>
      <c r="H186" s="10"/>
      <c r="I186" s="10" t="str">
        <f>IF($H186="","",$H186-WEEKDAY($H186,2)+1)</f>
        <v/>
      </c>
      <c r="J186" s="10" t="str">
        <f>IF($H186="","",DATE(YEAR($H186),MONTH($H186),1))</f>
        <v/>
      </c>
      <c r="K186" s="2"/>
      <c r="L186" s="10"/>
    </row>
    <row r="187" spans="1:12" hidden="1" x14ac:dyDescent="0.2">
      <c r="A187" s="2"/>
      <c r="B187" s="2"/>
      <c r="C187" s="2"/>
      <c r="D187" s="2"/>
      <c r="E187" s="2"/>
      <c r="F187" s="2"/>
      <c r="G187" s="2"/>
      <c r="H187" s="10"/>
      <c r="I187" s="10" t="str">
        <f>IF($H187="","",$H187-WEEKDAY($H187,2)+1)</f>
        <v/>
      </c>
      <c r="J187" s="10" t="str">
        <f>IF($H187="","",DATE(YEAR($H187),MONTH($H187),1))</f>
        <v/>
      </c>
      <c r="K187" s="2"/>
      <c r="L187" s="10"/>
    </row>
    <row r="188" spans="1:12" hidden="1" x14ac:dyDescent="0.2">
      <c r="A188" s="2"/>
      <c r="B188" s="2"/>
      <c r="C188" s="2"/>
      <c r="D188" s="2"/>
      <c r="E188" s="2"/>
      <c r="F188" s="2"/>
      <c r="G188" s="2"/>
      <c r="H188" s="10"/>
      <c r="I188" s="10" t="str">
        <f>IF($H188="","",$H188-WEEKDAY($H188,2)+1)</f>
        <v/>
      </c>
      <c r="J188" s="10" t="str">
        <f>IF($H188="","",DATE(YEAR($H188),MONTH($H188),1))</f>
        <v/>
      </c>
      <c r="K188" s="2"/>
      <c r="L188" s="10"/>
    </row>
    <row r="189" spans="1:12" hidden="1" x14ac:dyDescent="0.2">
      <c r="A189" s="2"/>
      <c r="B189" s="2"/>
      <c r="C189" s="2"/>
      <c r="D189" s="2"/>
      <c r="E189" s="2"/>
      <c r="F189" s="2"/>
      <c r="G189" s="2"/>
      <c r="H189" s="10"/>
      <c r="I189" s="10" t="str">
        <f>IF($H189="","",$H189-WEEKDAY($H189,2)+1)</f>
        <v/>
      </c>
      <c r="J189" s="10" t="str">
        <f>IF($H189="","",DATE(YEAR($H189),MONTH($H189),1))</f>
        <v/>
      </c>
      <c r="K189" s="2"/>
      <c r="L189" s="10"/>
    </row>
    <row r="190" spans="1:12" hidden="1" x14ac:dyDescent="0.2">
      <c r="A190" s="2"/>
      <c r="B190" s="2"/>
      <c r="C190" s="2"/>
      <c r="D190" s="2"/>
      <c r="E190" s="2"/>
      <c r="F190" s="2"/>
      <c r="G190" s="2"/>
      <c r="H190" s="10"/>
      <c r="I190" s="10" t="str">
        <f>IF($H190="","",$H190-WEEKDAY($H190,2)+1)</f>
        <v/>
      </c>
      <c r="J190" s="10" t="str">
        <f>IF($H190="","",DATE(YEAR($H190),MONTH($H190),1))</f>
        <v/>
      </c>
      <c r="K190" s="2"/>
      <c r="L190" s="10"/>
    </row>
    <row r="191" spans="1:12" hidden="1" x14ac:dyDescent="0.2">
      <c r="A191" s="2"/>
      <c r="B191" s="2"/>
      <c r="C191" s="2"/>
      <c r="D191" s="2"/>
      <c r="E191" s="2"/>
      <c r="F191" s="2"/>
      <c r="G191" s="2"/>
      <c r="H191" s="10"/>
      <c r="I191" s="10" t="str">
        <f>IF($H191="","",$H191-WEEKDAY($H191,2)+1)</f>
        <v/>
      </c>
      <c r="J191" s="10" t="str">
        <f>IF($H191="","",DATE(YEAR($H191),MONTH($H191),1))</f>
        <v/>
      </c>
      <c r="K191" s="2"/>
      <c r="L191" s="10"/>
    </row>
    <row r="192" spans="1:12" hidden="1" x14ac:dyDescent="0.2">
      <c r="A192" s="2"/>
      <c r="B192" s="2"/>
      <c r="C192" s="2"/>
      <c r="D192" s="2"/>
      <c r="E192" s="2"/>
      <c r="F192" s="2"/>
      <c r="G192" s="2"/>
      <c r="H192" s="10"/>
      <c r="I192" s="10" t="str">
        <f>IF($H192="","",$H192-WEEKDAY($H192,2)+1)</f>
        <v/>
      </c>
      <c r="J192" s="10" t="str">
        <f>IF($H192="","",DATE(YEAR($H192),MONTH($H192),1))</f>
        <v/>
      </c>
      <c r="K192" s="2"/>
      <c r="L192" s="10"/>
    </row>
    <row r="193" spans="1:12" hidden="1" x14ac:dyDescent="0.2">
      <c r="A193" s="2"/>
      <c r="B193" s="2"/>
      <c r="C193" s="2"/>
      <c r="D193" s="2"/>
      <c r="E193" s="2"/>
      <c r="F193" s="2"/>
      <c r="G193" s="2"/>
      <c r="H193" s="10"/>
      <c r="I193" s="10" t="str">
        <f>IF($H193="","",$H193-WEEKDAY($H193,2)+1)</f>
        <v/>
      </c>
      <c r="J193" s="10" t="str">
        <f>IF($H193="","",DATE(YEAR($H193),MONTH($H193),1))</f>
        <v/>
      </c>
      <c r="K193" s="2"/>
      <c r="L193" s="10"/>
    </row>
    <row r="194" spans="1:12" hidden="1" x14ac:dyDescent="0.2">
      <c r="A194" s="2"/>
      <c r="B194" s="2"/>
      <c r="C194" s="2"/>
      <c r="D194" s="2"/>
      <c r="E194" s="2"/>
      <c r="F194" s="2"/>
      <c r="G194" s="2"/>
      <c r="H194" s="10"/>
      <c r="I194" s="10" t="str">
        <f>IF($H194="","",$H194-WEEKDAY($H194,2)+1)</f>
        <v/>
      </c>
      <c r="J194" s="10" t="str">
        <f>IF($H194="","",DATE(YEAR($H194),MONTH($H194),1))</f>
        <v/>
      </c>
      <c r="K194" s="2"/>
      <c r="L194" s="10"/>
    </row>
    <row r="195" spans="1:12" hidden="1" x14ac:dyDescent="0.2">
      <c r="A195" s="2"/>
      <c r="B195" s="2"/>
      <c r="C195" s="2"/>
      <c r="D195" s="2"/>
      <c r="E195" s="2"/>
      <c r="F195" s="2"/>
      <c r="G195" s="2"/>
      <c r="H195" s="10"/>
      <c r="I195" s="10" t="str">
        <f>IF($H195="","",$H195-WEEKDAY($H195,2)+1)</f>
        <v/>
      </c>
      <c r="J195" s="10" t="str">
        <f>IF($H195="","",DATE(YEAR($H195),MONTH($H195),1))</f>
        <v/>
      </c>
      <c r="K195" s="2"/>
      <c r="L195" s="10"/>
    </row>
    <row r="196" spans="1:12" hidden="1" x14ac:dyDescent="0.2">
      <c r="A196" s="2"/>
      <c r="B196" s="2"/>
      <c r="C196" s="2"/>
      <c r="D196" s="2"/>
      <c r="E196" s="2"/>
      <c r="F196" s="2"/>
      <c r="G196" s="2"/>
      <c r="H196" s="10"/>
      <c r="I196" s="10" t="str">
        <f>IF($H196="","",$H196-WEEKDAY($H196,2)+1)</f>
        <v/>
      </c>
      <c r="J196" s="10" t="str">
        <f>IF($H196="","",DATE(YEAR($H196),MONTH($H196),1))</f>
        <v/>
      </c>
      <c r="K196" s="2"/>
      <c r="L196" s="10"/>
    </row>
    <row r="197" spans="1:12" hidden="1" x14ac:dyDescent="0.2">
      <c r="A197" s="2"/>
      <c r="B197" s="2"/>
      <c r="C197" s="2"/>
      <c r="D197" s="2"/>
      <c r="E197" s="2"/>
      <c r="F197" s="2"/>
      <c r="G197" s="2"/>
      <c r="H197" s="10"/>
      <c r="I197" s="10" t="str">
        <f>IF($H197="","",$H197-WEEKDAY($H197,2)+1)</f>
        <v/>
      </c>
      <c r="J197" s="10" t="str">
        <f>IF($H197="","",DATE(YEAR($H197),MONTH($H197),1))</f>
        <v/>
      </c>
      <c r="K197" s="2"/>
      <c r="L197" s="10"/>
    </row>
    <row r="198" spans="1:12" hidden="1" x14ac:dyDescent="0.2">
      <c r="A198" s="2"/>
      <c r="B198" s="2"/>
      <c r="C198" s="2"/>
      <c r="D198" s="2"/>
      <c r="E198" s="2"/>
      <c r="F198" s="2"/>
      <c r="G198" s="2"/>
      <c r="H198" s="10"/>
      <c r="I198" s="10" t="str">
        <f>IF($H198="","",$H198-WEEKDAY($H198,2)+1)</f>
        <v/>
      </c>
      <c r="J198" s="10" t="str">
        <f>IF($H198="","",DATE(YEAR($H198),MONTH($H198),1))</f>
        <v/>
      </c>
      <c r="K198" s="2"/>
      <c r="L198" s="10"/>
    </row>
    <row r="199" spans="1:12" hidden="1" x14ac:dyDescent="0.2">
      <c r="A199" s="2"/>
      <c r="B199" s="2"/>
      <c r="C199" s="2"/>
      <c r="D199" s="2"/>
      <c r="E199" s="2"/>
      <c r="F199" s="2"/>
      <c r="G199" s="2"/>
      <c r="H199" s="10"/>
      <c r="I199" s="10" t="str">
        <f>IF($H199="","",$H199-WEEKDAY($H199,2)+1)</f>
        <v/>
      </c>
      <c r="J199" s="10" t="str">
        <f>IF($H199="","",DATE(YEAR($H199),MONTH($H199),1))</f>
        <v/>
      </c>
      <c r="K199" s="2"/>
      <c r="L199" s="10"/>
    </row>
    <row r="200" spans="1:12" hidden="1" x14ac:dyDescent="0.2">
      <c r="A200" s="2"/>
      <c r="B200" s="2"/>
      <c r="C200" s="2"/>
      <c r="D200" s="2"/>
      <c r="E200" s="2"/>
      <c r="F200" s="2"/>
      <c r="G200" s="2"/>
      <c r="H200" s="10"/>
      <c r="I200" s="10" t="str">
        <f>IF($H200="","",$H200-WEEKDAY($H200,2)+1)</f>
        <v/>
      </c>
      <c r="J200" s="10" t="str">
        <f>IF($H200="","",DATE(YEAR($H200),MONTH($H200),1))</f>
        <v/>
      </c>
      <c r="K200" s="2"/>
      <c r="L200" s="10"/>
    </row>
    <row r="201" spans="1:12" hidden="1" x14ac:dyDescent="0.2">
      <c r="A201" s="2"/>
      <c r="B201" s="2"/>
      <c r="C201" s="2"/>
      <c r="D201" s="2"/>
      <c r="E201" s="2"/>
      <c r="F201" s="2"/>
      <c r="G201" s="2"/>
      <c r="H201" s="10"/>
      <c r="I201" s="10" t="str">
        <f>IF($H201="","",$H201-WEEKDAY($H201,2)+1)</f>
        <v/>
      </c>
      <c r="J201" s="10" t="str">
        <f>IF($H201="","",DATE(YEAR($H201),MONTH($H201),1))</f>
        <v/>
      </c>
      <c r="K201" s="2"/>
      <c r="L201" s="10"/>
    </row>
    <row r="202" spans="1:12" hidden="1" x14ac:dyDescent="0.2">
      <c r="A202" s="2"/>
      <c r="B202" s="2"/>
      <c r="C202" s="2"/>
      <c r="D202" s="2"/>
      <c r="E202" s="2"/>
      <c r="F202" s="2"/>
      <c r="G202" s="2"/>
      <c r="H202" s="10"/>
      <c r="I202" s="10" t="str">
        <f>IF($H202="","",$H202-WEEKDAY($H202,2)+1)</f>
        <v/>
      </c>
      <c r="J202" s="10" t="str">
        <f>IF($H202="","",DATE(YEAR($H202),MONTH($H202),1))</f>
        <v/>
      </c>
      <c r="K202" s="2"/>
      <c r="L202" s="10"/>
    </row>
    <row r="203" spans="1:12" hidden="1" x14ac:dyDescent="0.2">
      <c r="A203" s="2"/>
      <c r="B203" s="2"/>
      <c r="C203" s="2"/>
      <c r="D203" s="2"/>
      <c r="E203" s="2"/>
      <c r="F203" s="2"/>
      <c r="G203" s="2"/>
      <c r="H203" s="10"/>
      <c r="I203" s="10" t="str">
        <f>IF($H203="","",$H203-WEEKDAY($H203,2)+1)</f>
        <v/>
      </c>
      <c r="J203" s="10" t="str">
        <f>IF($H203="","",DATE(YEAR($H203),MONTH($H203),1))</f>
        <v/>
      </c>
      <c r="K203" s="2"/>
      <c r="L203" s="10"/>
    </row>
    <row r="204" spans="1:12" hidden="1" x14ac:dyDescent="0.2">
      <c r="A204" s="2"/>
      <c r="B204" s="2"/>
      <c r="C204" s="2"/>
      <c r="D204" s="2"/>
      <c r="E204" s="2"/>
      <c r="F204" s="2"/>
      <c r="G204" s="2"/>
      <c r="H204" s="10"/>
      <c r="I204" s="10" t="str">
        <f>IF($H204="","",$H204-WEEKDAY($H204,2)+1)</f>
        <v/>
      </c>
      <c r="J204" s="10" t="str">
        <f>IF($H204="","",DATE(YEAR($H204),MONTH($H204),1))</f>
        <v/>
      </c>
      <c r="K204" s="2"/>
      <c r="L204" s="10"/>
    </row>
    <row r="205" spans="1:12" hidden="1" x14ac:dyDescent="0.2">
      <c r="A205" s="2"/>
      <c r="B205" s="2"/>
      <c r="C205" s="2"/>
      <c r="D205" s="2"/>
      <c r="E205" s="2"/>
      <c r="F205" s="2"/>
      <c r="G205" s="2"/>
      <c r="H205" s="10"/>
      <c r="I205" s="10" t="str">
        <f>IF($H205="","",$H205-WEEKDAY($H205,2)+1)</f>
        <v/>
      </c>
      <c r="J205" s="10" t="str">
        <f>IF($H205="","",DATE(YEAR($H205),MONTH($H205),1))</f>
        <v/>
      </c>
      <c r="K205" s="2"/>
      <c r="L205" s="10"/>
    </row>
    <row r="206" spans="1:12" hidden="1" x14ac:dyDescent="0.2">
      <c r="A206" s="2"/>
      <c r="B206" s="2"/>
      <c r="C206" s="2"/>
      <c r="D206" s="2"/>
      <c r="E206" s="2"/>
      <c r="F206" s="2"/>
      <c r="G206" s="2"/>
      <c r="H206" s="10"/>
      <c r="I206" s="10" t="str">
        <f>IF($H206="","",$H206-WEEKDAY($H206,2)+1)</f>
        <v/>
      </c>
      <c r="J206" s="10" t="str">
        <f>IF($H206="","",DATE(YEAR($H206),MONTH($H206),1))</f>
        <v/>
      </c>
      <c r="K206" s="2"/>
      <c r="L206" s="10"/>
    </row>
    <row r="207" spans="1:12" hidden="1" x14ac:dyDescent="0.2">
      <c r="A207" s="2"/>
      <c r="B207" s="2"/>
      <c r="C207" s="2"/>
      <c r="D207" s="2"/>
      <c r="E207" s="2"/>
      <c r="F207" s="2"/>
      <c r="G207" s="2"/>
      <c r="H207" s="10"/>
      <c r="I207" s="10" t="str">
        <f>IF($H207="","",$H207-WEEKDAY($H207,2)+1)</f>
        <v/>
      </c>
      <c r="J207" s="10" t="str">
        <f>IF($H207="","",DATE(YEAR($H207),MONTH($H207),1))</f>
        <v/>
      </c>
      <c r="K207" s="2"/>
      <c r="L207" s="10"/>
    </row>
    <row r="208" spans="1:12" hidden="1" x14ac:dyDescent="0.2">
      <c r="A208" s="2"/>
      <c r="B208" s="2"/>
      <c r="C208" s="2"/>
      <c r="D208" s="2"/>
      <c r="E208" s="2"/>
      <c r="F208" s="2"/>
      <c r="G208" s="2"/>
      <c r="H208" s="10"/>
      <c r="I208" s="10" t="str">
        <f>IF($H208="","",$H208-WEEKDAY($H208,2)+1)</f>
        <v/>
      </c>
      <c r="J208" s="10" t="str">
        <f>IF($H208="","",DATE(YEAR($H208),MONTH($H208),1))</f>
        <v/>
      </c>
      <c r="K208" s="2"/>
      <c r="L208" s="10"/>
    </row>
    <row r="209" spans="1:12" hidden="1" x14ac:dyDescent="0.2">
      <c r="A209" s="2"/>
      <c r="B209" s="2"/>
      <c r="C209" s="2"/>
      <c r="D209" s="2"/>
      <c r="E209" s="2"/>
      <c r="F209" s="2"/>
      <c r="G209" s="2"/>
      <c r="H209" s="10"/>
      <c r="I209" s="10" t="str">
        <f>IF($H209="","",$H209-WEEKDAY($H209,2)+1)</f>
        <v/>
      </c>
      <c r="J209" s="10" t="str">
        <f>IF($H209="","",DATE(YEAR($H209),MONTH($H209),1))</f>
        <v/>
      </c>
      <c r="K209" s="2"/>
      <c r="L209" s="10"/>
    </row>
    <row r="210" spans="1:12" hidden="1" x14ac:dyDescent="0.2">
      <c r="A210" s="2"/>
      <c r="B210" s="2"/>
      <c r="C210" s="2"/>
      <c r="D210" s="2"/>
      <c r="E210" s="2"/>
      <c r="F210" s="2"/>
      <c r="G210" s="2"/>
      <c r="H210" s="10"/>
      <c r="I210" s="10" t="str">
        <f>IF($H210="","",$H210-WEEKDAY($H210,2)+1)</f>
        <v/>
      </c>
      <c r="J210" s="10" t="str">
        <f>IF($H210="","",DATE(YEAR($H210),MONTH($H210),1))</f>
        <v/>
      </c>
      <c r="K210" s="2"/>
      <c r="L210" s="10"/>
    </row>
    <row r="211" spans="1:12" hidden="1" x14ac:dyDescent="0.2">
      <c r="A211" s="2"/>
      <c r="B211" s="2"/>
      <c r="C211" s="2"/>
      <c r="D211" s="2"/>
      <c r="E211" s="2"/>
      <c r="F211" s="2"/>
      <c r="G211" s="2"/>
      <c r="H211" s="10"/>
      <c r="I211" s="10" t="str">
        <f>IF($H211="","",$H211-WEEKDAY($H211,2)+1)</f>
        <v/>
      </c>
      <c r="J211" s="10" t="str">
        <f>IF($H211="","",DATE(YEAR($H211),MONTH($H211),1))</f>
        <v/>
      </c>
      <c r="K211" s="2"/>
      <c r="L211" s="10"/>
    </row>
    <row r="212" spans="1:12" hidden="1" x14ac:dyDescent="0.2">
      <c r="A212" s="2"/>
      <c r="B212" s="2"/>
      <c r="C212" s="2"/>
      <c r="D212" s="2"/>
      <c r="E212" s="2"/>
      <c r="F212" s="2"/>
      <c r="G212" s="2"/>
      <c r="H212" s="10"/>
      <c r="I212" s="10" t="str">
        <f>IF($H212="","",$H212-WEEKDAY($H212,2)+1)</f>
        <v/>
      </c>
      <c r="J212" s="10" t="str">
        <f>IF($H212="","",DATE(YEAR($H212),MONTH($H212),1))</f>
        <v/>
      </c>
      <c r="K212" s="2"/>
      <c r="L212" s="10"/>
    </row>
    <row r="213" spans="1:12" hidden="1" x14ac:dyDescent="0.2">
      <c r="A213" s="2"/>
      <c r="B213" s="2"/>
      <c r="C213" s="2"/>
      <c r="D213" s="2"/>
      <c r="E213" s="2"/>
      <c r="F213" s="2"/>
      <c r="G213" s="2"/>
      <c r="H213" s="10"/>
      <c r="I213" s="10" t="str">
        <f>IF($H213="","",$H213-WEEKDAY($H213,2)+1)</f>
        <v/>
      </c>
      <c r="J213" s="10" t="str">
        <f>IF($H213="","",DATE(YEAR($H213),MONTH($H213),1))</f>
        <v/>
      </c>
      <c r="K213" s="2"/>
      <c r="L213" s="10"/>
    </row>
    <row r="214" spans="1:12" hidden="1" x14ac:dyDescent="0.2">
      <c r="A214" s="2"/>
      <c r="B214" s="2"/>
      <c r="C214" s="2"/>
      <c r="D214" s="2"/>
      <c r="E214" s="2"/>
      <c r="F214" s="2"/>
      <c r="G214" s="2"/>
      <c r="H214" s="10"/>
      <c r="I214" s="10" t="str">
        <f>IF($H214="","",$H214-WEEKDAY($H214,2)+1)</f>
        <v/>
      </c>
      <c r="J214" s="10" t="str">
        <f>IF($H214="","",DATE(YEAR($H214),MONTH($H214),1))</f>
        <v/>
      </c>
      <c r="K214" s="2"/>
      <c r="L214" s="10"/>
    </row>
    <row r="215" spans="1:12" hidden="1" x14ac:dyDescent="0.2">
      <c r="A215" s="2"/>
      <c r="B215" s="2"/>
      <c r="C215" s="2"/>
      <c r="D215" s="2"/>
      <c r="E215" s="2"/>
      <c r="F215" s="2"/>
      <c r="G215" s="2"/>
      <c r="H215" s="10"/>
      <c r="I215" s="10" t="str">
        <f>IF($H215="","",$H215-WEEKDAY($H215,2)+1)</f>
        <v/>
      </c>
      <c r="J215" s="10" t="str">
        <f>IF($H215="","",DATE(YEAR($H215),MONTH($H215),1))</f>
        <v/>
      </c>
      <c r="K215" s="2"/>
      <c r="L215" s="10"/>
    </row>
    <row r="216" spans="1:12" hidden="1" x14ac:dyDescent="0.2">
      <c r="A216" s="2"/>
      <c r="B216" s="2"/>
      <c r="C216" s="2"/>
      <c r="D216" s="2"/>
      <c r="E216" s="2"/>
      <c r="F216" s="2"/>
      <c r="G216" s="2"/>
      <c r="H216" s="10"/>
      <c r="I216" s="10" t="str">
        <f>IF($H216="","",$H216-WEEKDAY($H216,2)+1)</f>
        <v/>
      </c>
      <c r="J216" s="10" t="str">
        <f>IF($H216="","",DATE(YEAR($H216),MONTH($H216),1))</f>
        <v/>
      </c>
      <c r="K216" s="2"/>
      <c r="L216" s="10"/>
    </row>
    <row r="217" spans="1:12" hidden="1" x14ac:dyDescent="0.2">
      <c r="A217" s="2"/>
      <c r="B217" s="2"/>
      <c r="C217" s="2"/>
      <c r="D217" s="2"/>
      <c r="E217" s="2"/>
      <c r="F217" s="2"/>
      <c r="G217" s="2"/>
      <c r="H217" s="10"/>
      <c r="I217" s="10" t="str">
        <f>IF($H217="","",$H217-WEEKDAY($H217,2)+1)</f>
        <v/>
      </c>
      <c r="J217" s="10" t="str">
        <f>IF($H217="","",DATE(YEAR($H217),MONTH($H217),1))</f>
        <v/>
      </c>
      <c r="K217" s="2"/>
      <c r="L217" s="10"/>
    </row>
    <row r="218" spans="1:12" hidden="1" x14ac:dyDescent="0.2">
      <c r="A218" s="2"/>
      <c r="B218" s="2"/>
      <c r="C218" s="2"/>
      <c r="D218" s="2"/>
      <c r="E218" s="2"/>
      <c r="F218" s="2"/>
      <c r="G218" s="2"/>
      <c r="H218" s="10"/>
      <c r="I218" s="10" t="str">
        <f>IF($H218="","",$H218-WEEKDAY($H218,2)+1)</f>
        <v/>
      </c>
      <c r="J218" s="10" t="str">
        <f>IF($H218="","",DATE(YEAR($H218),MONTH($H218),1))</f>
        <v/>
      </c>
      <c r="K218" s="2"/>
      <c r="L218" s="10"/>
    </row>
    <row r="219" spans="1:12" hidden="1" x14ac:dyDescent="0.2">
      <c r="A219" s="2"/>
      <c r="B219" s="2"/>
      <c r="C219" s="2"/>
      <c r="D219" s="2"/>
      <c r="E219" s="2"/>
      <c r="F219" s="2"/>
      <c r="G219" s="2"/>
      <c r="H219" s="10"/>
      <c r="I219" s="10" t="str">
        <f>IF($H219="","",$H219-WEEKDAY($H219,2)+1)</f>
        <v/>
      </c>
      <c r="J219" s="10" t="str">
        <f>IF($H219="","",DATE(YEAR($H219),MONTH($H219),1))</f>
        <v/>
      </c>
      <c r="K219" s="2"/>
      <c r="L219" s="10"/>
    </row>
    <row r="220" spans="1:12" hidden="1" x14ac:dyDescent="0.2">
      <c r="A220" s="2"/>
      <c r="B220" s="2"/>
      <c r="C220" s="2"/>
      <c r="D220" s="2"/>
      <c r="E220" s="2"/>
      <c r="F220" s="2"/>
      <c r="G220" s="2"/>
      <c r="H220" s="10"/>
      <c r="I220" s="10" t="str">
        <f>IF($H220="","",$H220-WEEKDAY($H220,2)+1)</f>
        <v/>
      </c>
      <c r="J220" s="10" t="str">
        <f>IF($H220="","",DATE(YEAR($H220),MONTH($H220),1))</f>
        <v/>
      </c>
      <c r="K220" s="2"/>
      <c r="L220" s="10"/>
    </row>
    <row r="221" spans="1:12" hidden="1" x14ac:dyDescent="0.2">
      <c r="A221" s="2"/>
      <c r="B221" s="2"/>
      <c r="C221" s="2"/>
      <c r="D221" s="2"/>
      <c r="E221" s="2"/>
      <c r="F221" s="2"/>
      <c r="G221" s="2"/>
      <c r="H221" s="10"/>
      <c r="I221" s="10" t="str">
        <f>IF($H221="","",$H221-WEEKDAY($H221,2)+1)</f>
        <v/>
      </c>
      <c r="J221" s="10" t="str">
        <f>IF($H221="","",DATE(YEAR($H221),MONTH($H221),1))</f>
        <v/>
      </c>
      <c r="K221" s="2"/>
      <c r="L221" s="10"/>
    </row>
    <row r="222" spans="1:12" hidden="1" x14ac:dyDescent="0.2">
      <c r="A222" s="2"/>
      <c r="B222" s="2"/>
      <c r="C222" s="2"/>
      <c r="D222" s="2"/>
      <c r="E222" s="2"/>
      <c r="F222" s="2"/>
      <c r="G222" s="2"/>
      <c r="H222" s="10"/>
      <c r="I222" s="10" t="str">
        <f>IF($H222="","",$H222-WEEKDAY($H222,2)+1)</f>
        <v/>
      </c>
      <c r="J222" s="10" t="str">
        <f>IF($H222="","",DATE(YEAR($H222),MONTH($H222),1))</f>
        <v/>
      </c>
      <c r="K222" s="2"/>
      <c r="L222" s="10"/>
    </row>
    <row r="223" spans="1:12" hidden="1" x14ac:dyDescent="0.2">
      <c r="A223" s="2"/>
      <c r="B223" s="2"/>
      <c r="C223" s="2"/>
      <c r="D223" s="2"/>
      <c r="E223" s="2"/>
      <c r="F223" s="2"/>
      <c r="G223" s="2"/>
      <c r="H223" s="10"/>
      <c r="I223" s="10" t="str">
        <f>IF($H223="","",$H223-WEEKDAY($H223,2)+1)</f>
        <v/>
      </c>
      <c r="J223" s="10" t="str">
        <f>IF($H223="","",DATE(YEAR($H223),MONTH($H223),1))</f>
        <v/>
      </c>
      <c r="K223" s="2"/>
      <c r="L223" s="10"/>
    </row>
    <row r="224" spans="1:12" hidden="1" x14ac:dyDescent="0.2">
      <c r="A224" s="2"/>
      <c r="B224" s="2"/>
      <c r="C224" s="2"/>
      <c r="D224" s="2"/>
      <c r="E224" s="2"/>
      <c r="F224" s="2"/>
      <c r="G224" s="2"/>
      <c r="H224" s="10"/>
      <c r="I224" s="10" t="str">
        <f>IF($H224="","",$H224-WEEKDAY($H224,2)+1)</f>
        <v/>
      </c>
      <c r="J224" s="10" t="str">
        <f>IF($H224="","",DATE(YEAR($H224),MONTH($H224),1))</f>
        <v/>
      </c>
      <c r="K224" s="2"/>
      <c r="L224" s="10"/>
    </row>
    <row r="225" spans="1:12" hidden="1" x14ac:dyDescent="0.2">
      <c r="A225" s="2"/>
      <c r="B225" s="2"/>
      <c r="C225" s="2"/>
      <c r="D225" s="2"/>
      <c r="E225" s="2"/>
      <c r="F225" s="2"/>
      <c r="G225" s="2"/>
      <c r="H225" s="10"/>
      <c r="I225" s="10" t="str">
        <f>IF($H225="","",$H225-WEEKDAY($H225,2)+1)</f>
        <v/>
      </c>
      <c r="J225" s="10" t="str">
        <f>IF($H225="","",DATE(YEAR($H225),MONTH($H225),1))</f>
        <v/>
      </c>
      <c r="K225" s="2"/>
      <c r="L225" s="10"/>
    </row>
    <row r="226" spans="1:12" hidden="1" x14ac:dyDescent="0.2">
      <c r="A226" s="2"/>
      <c r="B226" s="2"/>
      <c r="C226" s="2"/>
      <c r="D226" s="2"/>
      <c r="E226" s="2"/>
      <c r="F226" s="2"/>
      <c r="G226" s="2"/>
      <c r="H226" s="10"/>
      <c r="I226" s="10" t="str">
        <f>IF($H226="","",$H226-WEEKDAY($H226,2)+1)</f>
        <v/>
      </c>
      <c r="J226" s="10" t="str">
        <f>IF($H226="","",DATE(YEAR($H226),MONTH($H226),1))</f>
        <v/>
      </c>
      <c r="K226" s="2"/>
      <c r="L226" s="10"/>
    </row>
    <row r="227" spans="1:12" hidden="1" x14ac:dyDescent="0.2">
      <c r="A227" s="2"/>
      <c r="B227" s="2"/>
      <c r="C227" s="2"/>
      <c r="D227" s="2"/>
      <c r="E227" s="2"/>
      <c r="F227" s="2"/>
      <c r="G227" s="2"/>
      <c r="H227" s="10"/>
      <c r="I227" s="10" t="str">
        <f>IF($H227="","",$H227-WEEKDAY($H227,2)+1)</f>
        <v/>
      </c>
      <c r="J227" s="10" t="str">
        <f>IF($H227="","",DATE(YEAR($H227),MONTH($H227),1))</f>
        <v/>
      </c>
      <c r="K227" s="2"/>
      <c r="L227" s="10"/>
    </row>
    <row r="228" spans="1:12" hidden="1" x14ac:dyDescent="0.2">
      <c r="A228" s="2"/>
      <c r="B228" s="2"/>
      <c r="C228" s="2"/>
      <c r="D228" s="2"/>
      <c r="E228" s="2"/>
      <c r="F228" s="2"/>
      <c r="G228" s="2"/>
      <c r="H228" s="10"/>
      <c r="I228" s="10" t="str">
        <f>IF($H228="","",$H228-WEEKDAY($H228,2)+1)</f>
        <v/>
      </c>
      <c r="J228" s="10" t="str">
        <f>IF($H228="","",DATE(YEAR($H228),MONTH($H228),1))</f>
        <v/>
      </c>
      <c r="K228" s="2"/>
      <c r="L228" s="10"/>
    </row>
    <row r="229" spans="1:12" hidden="1" x14ac:dyDescent="0.2">
      <c r="A229" s="2"/>
      <c r="B229" s="2"/>
      <c r="C229" s="2"/>
      <c r="D229" s="2"/>
      <c r="E229" s="2"/>
      <c r="F229" s="2"/>
      <c r="G229" s="2"/>
      <c r="H229" s="10"/>
      <c r="I229" s="10" t="str">
        <f>IF($H229="","",$H229-WEEKDAY($H229,2)+1)</f>
        <v/>
      </c>
      <c r="J229" s="10" t="str">
        <f>IF($H229="","",DATE(YEAR($H229),MONTH($H229),1))</f>
        <v/>
      </c>
      <c r="K229" s="2"/>
      <c r="L229" s="10"/>
    </row>
    <row r="230" spans="1:12" hidden="1" x14ac:dyDescent="0.2">
      <c r="A230" s="2"/>
      <c r="B230" s="2"/>
      <c r="C230" s="2"/>
      <c r="D230" s="2"/>
      <c r="E230" s="2"/>
      <c r="F230" s="2"/>
      <c r="G230" s="2"/>
      <c r="H230" s="10"/>
      <c r="I230" s="10" t="str">
        <f>IF($H230="","",$H230-WEEKDAY($H230,2)+1)</f>
        <v/>
      </c>
      <c r="J230" s="10" t="str">
        <f>IF($H230="","",DATE(YEAR($H230),MONTH($H230),1))</f>
        <v/>
      </c>
      <c r="K230" s="2"/>
      <c r="L230" s="10"/>
    </row>
    <row r="231" spans="1:12" hidden="1" x14ac:dyDescent="0.2">
      <c r="A231" s="2"/>
      <c r="B231" s="2"/>
      <c r="C231" s="2"/>
      <c r="D231" s="2"/>
      <c r="E231" s="2"/>
      <c r="F231" s="2"/>
      <c r="G231" s="2"/>
      <c r="H231" s="10"/>
      <c r="I231" s="10" t="str">
        <f>IF($H231="","",$H231-WEEKDAY($H231,2)+1)</f>
        <v/>
      </c>
      <c r="J231" s="10" t="str">
        <f>IF($H231="","",DATE(YEAR($H231),MONTH($H231),1))</f>
        <v/>
      </c>
      <c r="K231" s="2"/>
      <c r="L231" s="10"/>
    </row>
    <row r="232" spans="1:12" hidden="1" x14ac:dyDescent="0.2">
      <c r="A232" s="2"/>
      <c r="B232" s="2"/>
      <c r="C232" s="2"/>
      <c r="D232" s="2"/>
      <c r="E232" s="2"/>
      <c r="F232" s="2"/>
      <c r="G232" s="2"/>
      <c r="H232" s="10"/>
      <c r="I232" s="10" t="str">
        <f>IF($H232="","",$H232-WEEKDAY($H232,2)+1)</f>
        <v/>
      </c>
      <c r="J232" s="10" t="str">
        <f>IF($H232="","",DATE(YEAR($H232),MONTH($H232),1))</f>
        <v/>
      </c>
      <c r="K232" s="2"/>
      <c r="L232" s="10"/>
    </row>
    <row r="233" spans="1:12" hidden="1" x14ac:dyDescent="0.2">
      <c r="A233" s="2"/>
      <c r="B233" s="2"/>
      <c r="C233" s="2"/>
      <c r="D233" s="2"/>
      <c r="E233" s="2"/>
      <c r="F233" s="2"/>
      <c r="G233" s="2"/>
      <c r="H233" s="10"/>
      <c r="I233" s="10" t="str">
        <f>IF($H233="","",$H233-WEEKDAY($H233,2)+1)</f>
        <v/>
      </c>
      <c r="J233" s="10" t="str">
        <f>IF($H233="","",DATE(YEAR($H233),MONTH($H233),1))</f>
        <v/>
      </c>
      <c r="K233" s="2"/>
      <c r="L233" s="10"/>
    </row>
    <row r="234" spans="1:12" hidden="1" x14ac:dyDescent="0.2">
      <c r="A234" s="2"/>
      <c r="B234" s="2"/>
      <c r="C234" s="2"/>
      <c r="D234" s="2"/>
      <c r="E234" s="2"/>
      <c r="F234" s="2"/>
      <c r="G234" s="2"/>
      <c r="H234" s="10"/>
      <c r="I234" s="10" t="str">
        <f>IF($H234="","",$H234-WEEKDAY($H234,2)+1)</f>
        <v/>
      </c>
      <c r="J234" s="10" t="str">
        <f>IF($H234="","",DATE(YEAR($H234),MONTH($H234),1))</f>
        <v/>
      </c>
      <c r="K234" s="2"/>
      <c r="L234" s="10"/>
    </row>
    <row r="235" spans="1:12" hidden="1" x14ac:dyDescent="0.2">
      <c r="A235" s="2"/>
      <c r="B235" s="2"/>
      <c r="C235" s="2"/>
      <c r="D235" s="2"/>
      <c r="E235" s="2"/>
      <c r="F235" s="2"/>
      <c r="G235" s="2"/>
      <c r="H235" s="10"/>
      <c r="I235" s="10" t="str">
        <f>IF($H235="","",$H235-WEEKDAY($H235,2)+1)</f>
        <v/>
      </c>
      <c r="J235" s="10" t="str">
        <f>IF($H235="","",DATE(YEAR($H235),MONTH($H235),1))</f>
        <v/>
      </c>
      <c r="K235" s="2"/>
      <c r="L235" s="10"/>
    </row>
    <row r="236" spans="1:12" hidden="1" x14ac:dyDescent="0.2">
      <c r="A236" s="2"/>
      <c r="B236" s="2"/>
      <c r="C236" s="2"/>
      <c r="D236" s="2"/>
      <c r="E236" s="2"/>
      <c r="F236" s="2"/>
      <c r="G236" s="2"/>
      <c r="H236" s="10"/>
      <c r="I236" s="10" t="str">
        <f>IF($H236="","",$H236-WEEKDAY($H236,2)+1)</f>
        <v/>
      </c>
      <c r="J236" s="10" t="str">
        <f>IF($H236="","",DATE(YEAR($H236),MONTH($H236),1))</f>
        <v/>
      </c>
      <c r="K236" s="2"/>
      <c r="L236" s="10"/>
    </row>
    <row r="237" spans="1:12" hidden="1" x14ac:dyDescent="0.2">
      <c r="A237" s="2"/>
      <c r="B237" s="2"/>
      <c r="C237" s="2"/>
      <c r="D237" s="2"/>
      <c r="E237" s="2"/>
      <c r="F237" s="2"/>
      <c r="G237" s="2"/>
      <c r="H237" s="10"/>
      <c r="I237" s="10" t="str">
        <f>IF($H237="","",$H237-WEEKDAY($H237,2)+1)</f>
        <v/>
      </c>
      <c r="J237" s="10" t="str">
        <f>IF($H237="","",DATE(YEAR($H237),MONTH($H237),1))</f>
        <v/>
      </c>
      <c r="K237" s="2"/>
      <c r="L237" s="10"/>
    </row>
    <row r="238" spans="1:12" hidden="1" x14ac:dyDescent="0.2">
      <c r="A238" s="2"/>
      <c r="B238" s="2"/>
      <c r="C238" s="2"/>
      <c r="D238" s="2"/>
      <c r="E238" s="2"/>
      <c r="F238" s="2"/>
      <c r="G238" s="2"/>
      <c r="H238" s="10"/>
      <c r="I238" s="10" t="str">
        <f>IF($H238="","",$H238-WEEKDAY($H238,2)+1)</f>
        <v/>
      </c>
      <c r="J238" s="10" t="str">
        <f>IF($H238="","",DATE(YEAR($H238),MONTH($H238),1))</f>
        <v/>
      </c>
      <c r="K238" s="2"/>
      <c r="L238" s="10"/>
    </row>
    <row r="239" spans="1:12" hidden="1" x14ac:dyDescent="0.2">
      <c r="A239" s="2"/>
      <c r="B239" s="2"/>
      <c r="C239" s="2"/>
      <c r="D239" s="2"/>
      <c r="E239" s="2"/>
      <c r="F239" s="2"/>
      <c r="G239" s="2"/>
      <c r="H239" s="10"/>
      <c r="I239" s="10" t="str">
        <f>IF($H239="","",$H239-WEEKDAY($H239,2)+1)</f>
        <v/>
      </c>
      <c r="J239" s="10" t="str">
        <f>IF($H239="","",DATE(YEAR($H239),MONTH($H239),1))</f>
        <v/>
      </c>
      <c r="K239" s="2"/>
      <c r="L239" s="10"/>
    </row>
    <row r="240" spans="1:12" hidden="1" x14ac:dyDescent="0.2">
      <c r="A240" s="2"/>
      <c r="B240" s="2"/>
      <c r="C240" s="2"/>
      <c r="D240" s="2"/>
      <c r="E240" s="2"/>
      <c r="F240" s="2"/>
      <c r="G240" s="2"/>
      <c r="H240" s="10"/>
      <c r="I240" s="10" t="str">
        <f>IF($H240="","",$H240-WEEKDAY($H240,2)+1)</f>
        <v/>
      </c>
      <c r="J240" s="10" t="str">
        <f>IF($H240="","",DATE(YEAR($H240),MONTH($H240),1))</f>
        <v/>
      </c>
      <c r="K240" s="2"/>
      <c r="L240" s="10"/>
    </row>
    <row r="241" spans="1:12" hidden="1" x14ac:dyDescent="0.2">
      <c r="A241" s="2"/>
      <c r="B241" s="2"/>
      <c r="C241" s="2"/>
      <c r="D241" s="2"/>
      <c r="E241" s="2"/>
      <c r="F241" s="2"/>
      <c r="G241" s="2"/>
      <c r="H241" s="10"/>
      <c r="I241" s="10" t="str">
        <f>IF($H241="","",$H241-WEEKDAY($H241,2)+1)</f>
        <v/>
      </c>
      <c r="J241" s="10" t="str">
        <f>IF($H241="","",DATE(YEAR($H241),MONTH($H241),1))</f>
        <v/>
      </c>
      <c r="K241" s="2"/>
      <c r="L241" s="10"/>
    </row>
    <row r="242" spans="1:12" hidden="1" x14ac:dyDescent="0.2">
      <c r="A242" s="2"/>
      <c r="B242" s="2"/>
      <c r="C242" s="2"/>
      <c r="D242" s="2"/>
      <c r="E242" s="2"/>
      <c r="F242" s="2"/>
      <c r="G242" s="2"/>
      <c r="H242" s="10"/>
      <c r="I242" s="10" t="str">
        <f>IF($H242="","",$H242-WEEKDAY($H242,2)+1)</f>
        <v/>
      </c>
      <c r="J242" s="10" t="str">
        <f>IF($H242="","",DATE(YEAR($H242),MONTH($H242),1))</f>
        <v/>
      </c>
      <c r="K242" s="2"/>
      <c r="L242" s="10"/>
    </row>
    <row r="243" spans="1:12" hidden="1" x14ac:dyDescent="0.2">
      <c r="A243" s="2"/>
      <c r="B243" s="2"/>
      <c r="C243" s="2"/>
      <c r="D243" s="2"/>
      <c r="E243" s="2"/>
      <c r="F243" s="2"/>
      <c r="G243" s="2"/>
      <c r="H243" s="10"/>
      <c r="I243" s="10" t="str">
        <f>IF($H243="","",$H243-WEEKDAY($H243,2)+1)</f>
        <v/>
      </c>
      <c r="J243" s="10" t="str">
        <f>IF($H243="","",DATE(YEAR($H243),MONTH($H243),1))</f>
        <v/>
      </c>
      <c r="K243" s="2"/>
      <c r="L243" s="10"/>
    </row>
    <row r="244" spans="1:12" hidden="1" x14ac:dyDescent="0.2">
      <c r="A244" s="2"/>
      <c r="B244" s="2"/>
      <c r="C244" s="2"/>
      <c r="D244" s="2"/>
      <c r="E244" s="2"/>
      <c r="F244" s="2"/>
      <c r="G244" s="2"/>
      <c r="H244" s="10"/>
      <c r="I244" s="10" t="str">
        <f>IF($H244="","",$H244-WEEKDAY($H244,2)+1)</f>
        <v/>
      </c>
      <c r="J244" s="10" t="str">
        <f>IF($H244="","",DATE(YEAR($H244),MONTH($H244),1))</f>
        <v/>
      </c>
      <c r="K244" s="2"/>
      <c r="L244" s="10"/>
    </row>
    <row r="245" spans="1:12" hidden="1" x14ac:dyDescent="0.2">
      <c r="A245" s="2"/>
      <c r="B245" s="2"/>
      <c r="C245" s="2"/>
      <c r="D245" s="2"/>
      <c r="E245" s="2"/>
      <c r="F245" s="2"/>
      <c r="G245" s="2"/>
      <c r="H245" s="10"/>
      <c r="I245" s="10" t="str">
        <f>IF($H245="","",$H245-WEEKDAY($H245,2)+1)</f>
        <v/>
      </c>
      <c r="J245" s="10" t="str">
        <f>IF($H245="","",DATE(YEAR($H245),MONTH($H245),1))</f>
        <v/>
      </c>
      <c r="K245" s="2"/>
      <c r="L245" s="10"/>
    </row>
    <row r="246" spans="1:12" hidden="1" x14ac:dyDescent="0.2">
      <c r="A246" s="2"/>
      <c r="B246" s="2"/>
      <c r="C246" s="2"/>
      <c r="D246" s="2"/>
      <c r="E246" s="2"/>
      <c r="F246" s="2"/>
      <c r="G246" s="2"/>
      <c r="H246" s="10"/>
      <c r="I246" s="10" t="str">
        <f>IF($H246="","",$H246-WEEKDAY($H246,2)+1)</f>
        <v/>
      </c>
      <c r="J246" s="10" t="str">
        <f>IF($H246="","",DATE(YEAR($H246),MONTH($H246),1))</f>
        <v/>
      </c>
      <c r="K246" s="2"/>
      <c r="L246" s="10"/>
    </row>
    <row r="247" spans="1:12" hidden="1" x14ac:dyDescent="0.2">
      <c r="A247" s="2"/>
      <c r="B247" s="2"/>
      <c r="C247" s="2"/>
      <c r="D247" s="2"/>
      <c r="E247" s="2"/>
      <c r="F247" s="2"/>
      <c r="G247" s="2"/>
      <c r="H247" s="10"/>
      <c r="I247" s="10" t="str">
        <f>IF($H247="","",$H247-WEEKDAY($H247,2)+1)</f>
        <v/>
      </c>
      <c r="J247" s="10" t="str">
        <f>IF($H247="","",DATE(YEAR($H247),MONTH($H247),1))</f>
        <v/>
      </c>
      <c r="K247" s="2"/>
      <c r="L247" s="10"/>
    </row>
    <row r="248" spans="1:12" hidden="1" x14ac:dyDescent="0.2">
      <c r="A248" s="2"/>
      <c r="B248" s="2"/>
      <c r="C248" s="2"/>
      <c r="D248" s="2"/>
      <c r="E248" s="2"/>
      <c r="F248" s="2"/>
      <c r="G248" s="2"/>
      <c r="H248" s="10"/>
      <c r="I248" s="10" t="str">
        <f>IF($H248="","",$H248-WEEKDAY($H248,2)+1)</f>
        <v/>
      </c>
      <c r="J248" s="10" t="str">
        <f>IF($H248="","",DATE(YEAR($H248),MONTH($H248),1))</f>
        <v/>
      </c>
      <c r="K248" s="2"/>
      <c r="L248" s="10"/>
    </row>
    <row r="249" spans="1:12" hidden="1" x14ac:dyDescent="0.2">
      <c r="A249" s="2"/>
      <c r="B249" s="2"/>
      <c r="C249" s="2"/>
      <c r="D249" s="2"/>
      <c r="E249" s="2"/>
      <c r="F249" s="2"/>
      <c r="G249" s="2"/>
      <c r="H249" s="10"/>
      <c r="I249" s="10" t="str">
        <f>IF($H249="","",$H249-WEEKDAY($H249,2)+1)</f>
        <v/>
      </c>
      <c r="J249" s="10" t="str">
        <f>IF($H249="","",DATE(YEAR($H249),MONTH($H249),1))</f>
        <v/>
      </c>
      <c r="K249" s="2"/>
      <c r="L249" s="10"/>
    </row>
    <row r="250" spans="1:12" hidden="1" x14ac:dyDescent="0.2">
      <c r="A250" s="2"/>
      <c r="B250" s="2"/>
      <c r="C250" s="2"/>
      <c r="D250" s="2"/>
      <c r="E250" s="2"/>
      <c r="F250" s="2"/>
      <c r="G250" s="2"/>
      <c r="H250" s="10"/>
      <c r="I250" s="10" t="str">
        <f>IF($H250="","",$H250-WEEKDAY($H250,2)+1)</f>
        <v/>
      </c>
      <c r="J250" s="10" t="str">
        <f>IF($H250="","",DATE(YEAR($H250),MONTH($H250),1))</f>
        <v/>
      </c>
      <c r="K250" s="2"/>
      <c r="L250" s="10"/>
    </row>
    <row r="251" spans="1:12" hidden="1" x14ac:dyDescent="0.2">
      <c r="A251" s="2"/>
      <c r="B251" s="2"/>
      <c r="C251" s="2"/>
      <c r="D251" s="2"/>
      <c r="E251" s="2"/>
      <c r="F251" s="2"/>
      <c r="G251" s="2"/>
      <c r="H251" s="10"/>
      <c r="I251" s="10" t="str">
        <f>IF($H251="","",$H251-WEEKDAY($H251,2)+1)</f>
        <v/>
      </c>
      <c r="J251" s="10" t="str">
        <f>IF($H251="","",DATE(YEAR($H251),MONTH($H251),1))</f>
        <v/>
      </c>
      <c r="K251" s="2"/>
      <c r="L251" s="10"/>
    </row>
    <row r="252" spans="1:12" hidden="1" x14ac:dyDescent="0.2">
      <c r="A252" s="2"/>
      <c r="B252" s="2"/>
      <c r="C252" s="2"/>
      <c r="D252" s="2"/>
      <c r="E252" s="2"/>
      <c r="F252" s="2"/>
      <c r="G252" s="2"/>
      <c r="H252" s="10"/>
      <c r="I252" s="10" t="str">
        <f>IF($H252="","",$H252-WEEKDAY($H252,2)+1)</f>
        <v/>
      </c>
      <c r="J252" s="10" t="str">
        <f>IF($H252="","",DATE(YEAR($H252),MONTH($H252),1))</f>
        <v/>
      </c>
      <c r="K252" s="2"/>
      <c r="L252" s="10"/>
    </row>
    <row r="253" spans="1:12" hidden="1" x14ac:dyDescent="0.2">
      <c r="A253" s="2"/>
      <c r="B253" s="2"/>
      <c r="C253" s="2"/>
      <c r="D253" s="2"/>
      <c r="E253" s="2"/>
      <c r="F253" s="2"/>
      <c r="G253" s="2"/>
      <c r="H253" s="10"/>
      <c r="I253" s="10" t="str">
        <f>IF($H253="","",$H253-WEEKDAY($H253,2)+1)</f>
        <v/>
      </c>
      <c r="J253" s="10" t="str">
        <f>IF($H253="","",DATE(YEAR($H253),MONTH($H253),1))</f>
        <v/>
      </c>
      <c r="K253" s="2"/>
      <c r="L253" s="10"/>
    </row>
    <row r="254" spans="1:12" hidden="1" x14ac:dyDescent="0.2">
      <c r="A254" s="2"/>
      <c r="B254" s="2"/>
      <c r="C254" s="2"/>
      <c r="D254" s="2"/>
      <c r="E254" s="2"/>
      <c r="F254" s="2"/>
      <c r="G254" s="2"/>
      <c r="H254" s="10"/>
      <c r="I254" s="10" t="str">
        <f>IF($H254="","",$H254-WEEKDAY($H254,2)+1)</f>
        <v/>
      </c>
      <c r="J254" s="10" t="str">
        <f>IF($H254="","",DATE(YEAR($H254),MONTH($H254),1))</f>
        <v/>
      </c>
      <c r="K254" s="2"/>
      <c r="L254" s="10"/>
    </row>
    <row r="255" spans="1:12" hidden="1" x14ac:dyDescent="0.2">
      <c r="A255" s="2"/>
      <c r="B255" s="2"/>
      <c r="C255" s="2"/>
      <c r="D255" s="2"/>
      <c r="E255" s="2"/>
      <c r="F255" s="2"/>
      <c r="G255" s="2"/>
      <c r="H255" s="10"/>
      <c r="I255" s="10" t="str">
        <f>IF($H255="","",$H255-WEEKDAY($H255,2)+1)</f>
        <v/>
      </c>
      <c r="J255" s="10" t="str">
        <f>IF($H255="","",DATE(YEAR($H255),MONTH($H255),1))</f>
        <v/>
      </c>
      <c r="K255" s="2"/>
      <c r="L255" s="10"/>
    </row>
    <row r="256" spans="1:12" hidden="1" x14ac:dyDescent="0.2">
      <c r="A256" s="2"/>
      <c r="B256" s="2"/>
      <c r="C256" s="2"/>
      <c r="D256" s="2"/>
      <c r="E256" s="2"/>
      <c r="F256" s="2"/>
      <c r="G256" s="2"/>
      <c r="H256" s="10"/>
      <c r="I256" s="10" t="str">
        <f>IF($H256="","",$H256-WEEKDAY($H256,2)+1)</f>
        <v/>
      </c>
      <c r="J256" s="10" t="str">
        <f>IF($H256="","",DATE(YEAR($H256),MONTH($H256),1))</f>
        <v/>
      </c>
      <c r="K256" s="2"/>
      <c r="L256" s="10"/>
    </row>
    <row r="257" spans="1:12" hidden="1" x14ac:dyDescent="0.2">
      <c r="A257" s="2"/>
      <c r="B257" s="2"/>
      <c r="C257" s="2"/>
      <c r="D257" s="2"/>
      <c r="E257" s="2"/>
      <c r="F257" s="2"/>
      <c r="G257" s="2"/>
      <c r="H257" s="10"/>
      <c r="I257" s="10" t="str">
        <f>IF($H257="","",$H257-WEEKDAY($H257,2)+1)</f>
        <v/>
      </c>
      <c r="J257" s="10" t="str">
        <f>IF($H257="","",DATE(YEAR($H257),MONTH($H257),1))</f>
        <v/>
      </c>
      <c r="K257" s="2"/>
      <c r="L257" s="10"/>
    </row>
    <row r="258" spans="1:12" hidden="1" x14ac:dyDescent="0.2">
      <c r="A258" s="2"/>
      <c r="B258" s="2"/>
      <c r="C258" s="2"/>
      <c r="D258" s="2"/>
      <c r="E258" s="2"/>
      <c r="F258" s="2"/>
      <c r="G258" s="2"/>
      <c r="H258" s="10"/>
      <c r="I258" s="10" t="str">
        <f>IF($H258="","",$H258-WEEKDAY($H258,2)+1)</f>
        <v/>
      </c>
      <c r="J258" s="10" t="str">
        <f>IF($H258="","",DATE(YEAR($H258),MONTH($H258),1))</f>
        <v/>
      </c>
      <c r="K258" s="2"/>
      <c r="L258" s="10"/>
    </row>
    <row r="259" spans="1:12" hidden="1" x14ac:dyDescent="0.2">
      <c r="A259" s="2"/>
      <c r="B259" s="2"/>
      <c r="C259" s="2"/>
      <c r="D259" s="2"/>
      <c r="E259" s="2"/>
      <c r="F259" s="2"/>
      <c r="G259" s="2"/>
      <c r="H259" s="10"/>
      <c r="I259" s="10" t="str">
        <f>IF($H259="","",$H259-WEEKDAY($H259,2)+1)</f>
        <v/>
      </c>
      <c r="J259" s="10" t="str">
        <f>IF($H259="","",DATE(YEAR($H259),MONTH($H259),1))</f>
        <v/>
      </c>
      <c r="K259" s="2"/>
      <c r="L259" s="10"/>
    </row>
    <row r="260" spans="1:12" hidden="1" x14ac:dyDescent="0.2">
      <c r="A260" s="2"/>
      <c r="B260" s="2"/>
      <c r="C260" s="2"/>
      <c r="D260" s="2"/>
      <c r="E260" s="2"/>
      <c r="F260" s="2"/>
      <c r="G260" s="2"/>
      <c r="H260" s="10"/>
      <c r="I260" s="10" t="str">
        <f>IF($H260="","",$H260-WEEKDAY($H260,2)+1)</f>
        <v/>
      </c>
      <c r="J260" s="10" t="str">
        <f>IF($H260="","",DATE(YEAR($H260),MONTH($H260),1))</f>
        <v/>
      </c>
      <c r="K260" s="2"/>
      <c r="L260" s="10"/>
    </row>
    <row r="261" spans="1:12" hidden="1" x14ac:dyDescent="0.2">
      <c r="A261" s="2"/>
      <c r="B261" s="2"/>
      <c r="C261" s="2"/>
      <c r="D261" s="2"/>
      <c r="E261" s="2"/>
      <c r="F261" s="2"/>
      <c r="G261" s="2"/>
      <c r="H261" s="10"/>
      <c r="I261" s="10" t="str">
        <f>IF($H261="","",$H261-WEEKDAY($H261,2)+1)</f>
        <v/>
      </c>
      <c r="J261" s="10" t="str">
        <f>IF($H261="","",DATE(YEAR($H261),MONTH($H261),1))</f>
        <v/>
      </c>
      <c r="K261" s="2"/>
      <c r="L261" s="10"/>
    </row>
    <row r="262" spans="1:12" hidden="1" x14ac:dyDescent="0.2">
      <c r="A262" s="2"/>
      <c r="B262" s="2"/>
      <c r="C262" s="2"/>
      <c r="D262" s="2"/>
      <c r="E262" s="2"/>
      <c r="F262" s="2"/>
      <c r="G262" s="2"/>
      <c r="H262" s="10"/>
      <c r="I262" s="10" t="str">
        <f>IF($H262="","",$H262-WEEKDAY($H262,2)+1)</f>
        <v/>
      </c>
      <c r="J262" s="10" t="str">
        <f>IF($H262="","",DATE(YEAR($H262),MONTH($H262),1))</f>
        <v/>
      </c>
      <c r="K262" s="2"/>
      <c r="L262" s="10"/>
    </row>
    <row r="263" spans="1:12" hidden="1" x14ac:dyDescent="0.2">
      <c r="A263" s="2"/>
      <c r="B263" s="2"/>
      <c r="C263" s="2"/>
      <c r="D263" s="2"/>
      <c r="E263" s="2"/>
      <c r="F263" s="2"/>
      <c r="G263" s="2"/>
      <c r="H263" s="10"/>
      <c r="I263" s="10" t="str">
        <f>IF($H263="","",$H263-WEEKDAY($H263,2)+1)</f>
        <v/>
      </c>
      <c r="J263" s="10" t="str">
        <f>IF($H263="","",DATE(YEAR($H263),MONTH($H263),1))</f>
        <v/>
      </c>
      <c r="K263" s="2"/>
      <c r="L263" s="10"/>
    </row>
    <row r="264" spans="1:12" hidden="1" x14ac:dyDescent="0.2">
      <c r="A264" s="2"/>
      <c r="B264" s="2"/>
      <c r="C264" s="2"/>
      <c r="D264" s="2"/>
      <c r="E264" s="2"/>
      <c r="F264" s="2"/>
      <c r="G264" s="2"/>
      <c r="H264" s="10"/>
      <c r="I264" s="10" t="str">
        <f>IF($H264="","",$H264-WEEKDAY($H264,2)+1)</f>
        <v/>
      </c>
      <c r="J264" s="10" t="str">
        <f>IF($H264="","",DATE(YEAR($H264),MONTH($H264),1))</f>
        <v/>
      </c>
      <c r="K264" s="2"/>
      <c r="L264" s="10"/>
    </row>
    <row r="265" spans="1:12" hidden="1" x14ac:dyDescent="0.2">
      <c r="A265" s="2"/>
      <c r="B265" s="2"/>
      <c r="C265" s="2"/>
      <c r="D265" s="2"/>
      <c r="E265" s="2"/>
      <c r="F265" s="2"/>
      <c r="G265" s="2"/>
      <c r="H265" s="10"/>
      <c r="I265" s="10" t="str">
        <f>IF($H265="","",$H265-WEEKDAY($H265,2)+1)</f>
        <v/>
      </c>
      <c r="J265" s="10" t="str">
        <f>IF($H265="","",DATE(YEAR($H265),MONTH($H265),1))</f>
        <v/>
      </c>
      <c r="K265" s="2"/>
      <c r="L265" s="10"/>
    </row>
    <row r="266" spans="1:12" hidden="1" x14ac:dyDescent="0.2">
      <c r="A266" s="2"/>
      <c r="B266" s="2"/>
      <c r="C266" s="2"/>
      <c r="D266" s="2"/>
      <c r="E266" s="2"/>
      <c r="F266" s="2"/>
      <c r="G266" s="2"/>
      <c r="H266" s="10"/>
      <c r="I266" s="10" t="str">
        <f>IF($H266="","",$H266-WEEKDAY($H266,2)+1)</f>
        <v/>
      </c>
      <c r="J266" s="10" t="str">
        <f>IF($H266="","",DATE(YEAR($H266),MONTH($H266),1))</f>
        <v/>
      </c>
      <c r="K266" s="2"/>
      <c r="L266" s="10"/>
    </row>
    <row r="267" spans="1:12" hidden="1" x14ac:dyDescent="0.2">
      <c r="A267" s="2"/>
      <c r="B267" s="2"/>
      <c r="C267" s="2"/>
      <c r="D267" s="2"/>
      <c r="E267" s="2"/>
      <c r="F267" s="2"/>
      <c r="G267" s="2"/>
      <c r="H267" s="10"/>
      <c r="I267" s="10" t="str">
        <f>IF($H267="","",$H267-WEEKDAY($H267,2)+1)</f>
        <v/>
      </c>
      <c r="J267" s="10" t="str">
        <f>IF($H267="","",DATE(YEAR($H267),MONTH($H267),1))</f>
        <v/>
      </c>
      <c r="K267" s="2"/>
      <c r="L267" s="10"/>
    </row>
    <row r="268" spans="1:12" hidden="1" x14ac:dyDescent="0.2">
      <c r="A268" s="2"/>
      <c r="B268" s="2"/>
      <c r="C268" s="2"/>
      <c r="D268" s="2"/>
      <c r="E268" s="2"/>
      <c r="F268" s="2"/>
      <c r="G268" s="2"/>
      <c r="H268" s="10"/>
      <c r="I268" s="10" t="str">
        <f>IF($H268="","",$H268-WEEKDAY($H268,2)+1)</f>
        <v/>
      </c>
      <c r="J268" s="10" t="str">
        <f>IF($H268="","",DATE(YEAR($H268),MONTH($H268),1))</f>
        <v/>
      </c>
      <c r="K268" s="2"/>
      <c r="L268" s="10"/>
    </row>
    <row r="269" spans="1:12" hidden="1" x14ac:dyDescent="0.2">
      <c r="A269" s="2"/>
      <c r="B269" s="2"/>
      <c r="C269" s="2"/>
      <c r="D269" s="2"/>
      <c r="E269" s="2"/>
      <c r="F269" s="2"/>
      <c r="G269" s="2"/>
      <c r="H269" s="10"/>
      <c r="I269" s="10" t="str">
        <f>IF($H269="","",$H269-WEEKDAY($H269,2)+1)</f>
        <v/>
      </c>
      <c r="J269" s="10" t="str">
        <f>IF($H269="","",DATE(YEAR($H269),MONTH($H269),1))</f>
        <v/>
      </c>
      <c r="K269" s="2"/>
      <c r="L269" s="10"/>
    </row>
    <row r="270" spans="1:12" hidden="1" x14ac:dyDescent="0.2">
      <c r="A270" s="2"/>
      <c r="B270" s="2"/>
      <c r="C270" s="2"/>
      <c r="D270" s="2"/>
      <c r="E270" s="2"/>
      <c r="F270" s="2"/>
      <c r="G270" s="2"/>
      <c r="H270" s="10"/>
      <c r="I270" s="10" t="str">
        <f>IF($H270="","",$H270-WEEKDAY($H270,2)+1)</f>
        <v/>
      </c>
      <c r="J270" s="10" t="str">
        <f>IF($H270="","",DATE(YEAR($H270),MONTH($H270),1))</f>
        <v/>
      </c>
      <c r="K270" s="2"/>
      <c r="L270" s="10"/>
    </row>
    <row r="271" spans="1:12" hidden="1" x14ac:dyDescent="0.2">
      <c r="A271" s="2"/>
      <c r="B271" s="2"/>
      <c r="C271" s="2"/>
      <c r="D271" s="2"/>
      <c r="E271" s="2"/>
      <c r="F271" s="2"/>
      <c r="G271" s="2"/>
      <c r="H271" s="10"/>
      <c r="I271" s="10" t="str">
        <f>IF($H271="","",$H271-WEEKDAY($H271,2)+1)</f>
        <v/>
      </c>
      <c r="J271" s="10" t="str">
        <f>IF($H271="","",DATE(YEAR($H271),MONTH($H271),1))</f>
        <v/>
      </c>
      <c r="K271" s="2"/>
      <c r="L271" s="10"/>
    </row>
    <row r="272" spans="1:12" hidden="1" x14ac:dyDescent="0.2">
      <c r="A272" s="2"/>
      <c r="B272" s="2"/>
      <c r="C272" s="2"/>
      <c r="D272" s="2"/>
      <c r="E272" s="2"/>
      <c r="F272" s="2"/>
      <c r="G272" s="2"/>
      <c r="H272" s="10"/>
      <c r="I272" s="10" t="str">
        <f>IF($H272="","",$H272-WEEKDAY($H272,2)+1)</f>
        <v/>
      </c>
      <c r="J272" s="10" t="str">
        <f>IF($H272="","",DATE(YEAR($H272),MONTH($H272),1))</f>
        <v/>
      </c>
      <c r="K272" s="2"/>
      <c r="L272" s="10"/>
    </row>
    <row r="273" spans="1:12" hidden="1" x14ac:dyDescent="0.2">
      <c r="A273" s="2"/>
      <c r="B273" s="2"/>
      <c r="C273" s="2"/>
      <c r="D273" s="2"/>
      <c r="E273" s="2"/>
      <c r="F273" s="2"/>
      <c r="G273" s="2"/>
      <c r="H273" s="10"/>
      <c r="I273" s="10" t="str">
        <f>IF($H273="","",$H273-WEEKDAY($H273,2)+1)</f>
        <v/>
      </c>
      <c r="J273" s="10" t="str">
        <f>IF($H273="","",DATE(YEAR($H273),MONTH($H273),1))</f>
        <v/>
      </c>
      <c r="K273" s="2"/>
      <c r="L273" s="10"/>
    </row>
    <row r="274" spans="1:12" hidden="1" x14ac:dyDescent="0.2">
      <c r="A274" s="2"/>
      <c r="B274" s="2"/>
      <c r="C274" s="2"/>
      <c r="D274" s="2"/>
      <c r="E274" s="2"/>
      <c r="F274" s="2"/>
      <c r="G274" s="2"/>
      <c r="H274" s="10"/>
      <c r="I274" s="10" t="str">
        <f>IF($H274="","",$H274-WEEKDAY($H274,2)+1)</f>
        <v/>
      </c>
      <c r="J274" s="10" t="str">
        <f>IF($H274="","",DATE(YEAR($H274),MONTH($H274),1))</f>
        <v/>
      </c>
      <c r="K274" s="2"/>
      <c r="L274" s="10"/>
    </row>
    <row r="275" spans="1:12" hidden="1" x14ac:dyDescent="0.2">
      <c r="A275" s="2"/>
      <c r="B275" s="2"/>
      <c r="C275" s="2"/>
      <c r="D275" s="2"/>
      <c r="E275" s="2"/>
      <c r="F275" s="2"/>
      <c r="G275" s="2"/>
      <c r="H275" s="10"/>
      <c r="I275" s="10" t="str">
        <f>IF($H275="","",$H275-WEEKDAY($H275,2)+1)</f>
        <v/>
      </c>
      <c r="J275" s="10" t="str">
        <f>IF($H275="","",DATE(YEAR($H275),MONTH($H275),1))</f>
        <v/>
      </c>
      <c r="K275" s="2"/>
      <c r="L275" s="10"/>
    </row>
    <row r="276" spans="1:12" hidden="1" x14ac:dyDescent="0.2">
      <c r="A276" s="2"/>
      <c r="B276" s="2"/>
      <c r="C276" s="2"/>
      <c r="D276" s="2"/>
      <c r="E276" s="2"/>
      <c r="F276" s="2"/>
      <c r="G276" s="2"/>
      <c r="H276" s="10"/>
      <c r="I276" s="10" t="str">
        <f>IF($H276="","",$H276-WEEKDAY($H276,2)+1)</f>
        <v/>
      </c>
      <c r="J276" s="10" t="str">
        <f>IF($H276="","",DATE(YEAR($H276),MONTH($H276),1))</f>
        <v/>
      </c>
      <c r="K276" s="2"/>
      <c r="L276" s="10"/>
    </row>
    <row r="277" spans="1:12" hidden="1" x14ac:dyDescent="0.2">
      <c r="A277" s="2"/>
      <c r="B277" s="2"/>
      <c r="C277" s="2"/>
      <c r="D277" s="2"/>
      <c r="E277" s="2"/>
      <c r="F277" s="2"/>
      <c r="G277" s="2"/>
      <c r="H277" s="10"/>
      <c r="I277" s="10" t="str">
        <f>IF($H277="","",$H277-WEEKDAY($H277,2)+1)</f>
        <v/>
      </c>
      <c r="J277" s="10" t="str">
        <f>IF($H277="","",DATE(YEAR($H277),MONTH($H277),1))</f>
        <v/>
      </c>
      <c r="K277" s="2"/>
      <c r="L277" s="10"/>
    </row>
    <row r="278" spans="1:12" hidden="1" x14ac:dyDescent="0.2">
      <c r="A278" s="2"/>
      <c r="B278" s="2"/>
      <c r="C278" s="2"/>
      <c r="D278" s="2"/>
      <c r="E278" s="2"/>
      <c r="F278" s="2"/>
      <c r="G278" s="2"/>
      <c r="H278" s="10"/>
      <c r="I278" s="10" t="str">
        <f>IF($H278="","",$H278-WEEKDAY($H278,2)+1)</f>
        <v/>
      </c>
      <c r="J278" s="10" t="str">
        <f>IF($H278="","",DATE(YEAR($H278),MONTH($H278),1))</f>
        <v/>
      </c>
      <c r="K278" s="2"/>
      <c r="L278" s="10"/>
    </row>
    <row r="279" spans="1:12" hidden="1" x14ac:dyDescent="0.2">
      <c r="A279" s="2"/>
      <c r="B279" s="2"/>
      <c r="C279" s="2"/>
      <c r="D279" s="2"/>
      <c r="E279" s="2"/>
      <c r="F279" s="2"/>
      <c r="G279" s="2"/>
      <c r="H279" s="10"/>
      <c r="I279" s="10" t="str">
        <f>IF($H279="","",$H279-WEEKDAY($H279,2)+1)</f>
        <v/>
      </c>
      <c r="J279" s="10" t="str">
        <f>IF($H279="","",DATE(YEAR($H279),MONTH($H279),1))</f>
        <v/>
      </c>
      <c r="K279" s="2"/>
      <c r="L279" s="10"/>
    </row>
    <row r="280" spans="1:12" hidden="1" x14ac:dyDescent="0.2">
      <c r="A280" s="2"/>
      <c r="B280" s="2"/>
      <c r="C280" s="2"/>
      <c r="D280" s="2"/>
      <c r="E280" s="2"/>
      <c r="F280" s="2"/>
      <c r="G280" s="2"/>
      <c r="H280" s="10"/>
      <c r="I280" s="10" t="str">
        <f>IF($H280="","",$H280-WEEKDAY($H280,2)+1)</f>
        <v/>
      </c>
      <c r="J280" s="10" t="str">
        <f>IF($H280="","",DATE(YEAR($H280),MONTH($H280),1))</f>
        <v/>
      </c>
      <c r="K280" s="2"/>
      <c r="L280" s="10"/>
    </row>
    <row r="281" spans="1:12" hidden="1" x14ac:dyDescent="0.2">
      <c r="A281" s="2"/>
      <c r="B281" s="2"/>
      <c r="C281" s="2"/>
      <c r="D281" s="2"/>
      <c r="E281" s="2"/>
      <c r="F281" s="2"/>
      <c r="G281" s="2"/>
      <c r="H281" s="10"/>
      <c r="I281" s="10" t="str">
        <f>IF($H281="","",$H281-WEEKDAY($H281,2)+1)</f>
        <v/>
      </c>
      <c r="J281" s="10" t="str">
        <f>IF($H281="","",DATE(YEAR($H281),MONTH($H281),1))</f>
        <v/>
      </c>
      <c r="K281" s="2"/>
      <c r="L281" s="10"/>
    </row>
    <row r="282" spans="1:12" hidden="1" x14ac:dyDescent="0.2">
      <c r="A282" s="2"/>
      <c r="B282" s="2"/>
      <c r="C282" s="2"/>
      <c r="D282" s="2"/>
      <c r="E282" s="2"/>
      <c r="F282" s="2"/>
      <c r="G282" s="2"/>
      <c r="H282" s="10"/>
      <c r="I282" s="10" t="str">
        <f>IF($H282="","",$H282-WEEKDAY($H282,2)+1)</f>
        <v/>
      </c>
      <c r="J282" s="10" t="str">
        <f>IF($H282="","",DATE(YEAR($H282),MONTH($H282),1))</f>
        <v/>
      </c>
      <c r="K282" s="2"/>
      <c r="L282" s="10"/>
    </row>
    <row r="283" spans="1:12" hidden="1" x14ac:dyDescent="0.2">
      <c r="A283" s="2"/>
      <c r="B283" s="2"/>
      <c r="C283" s="2"/>
      <c r="D283" s="2"/>
      <c r="E283" s="2"/>
      <c r="F283" s="2"/>
      <c r="G283" s="2"/>
      <c r="H283" s="10"/>
      <c r="I283" s="10" t="str">
        <f>IF($H283="","",$H283-WEEKDAY($H283,2)+1)</f>
        <v/>
      </c>
      <c r="J283" s="10" t="str">
        <f>IF($H283="","",DATE(YEAR($H283),MONTH($H283),1))</f>
        <v/>
      </c>
      <c r="K283" s="2"/>
      <c r="L283" s="10"/>
    </row>
    <row r="284" spans="1:12" hidden="1" x14ac:dyDescent="0.2">
      <c r="A284" s="2"/>
      <c r="B284" s="2"/>
      <c r="C284" s="2"/>
      <c r="D284" s="2"/>
      <c r="E284" s="2"/>
      <c r="F284" s="2"/>
      <c r="G284" s="2"/>
      <c r="H284" s="10"/>
      <c r="I284" s="10" t="str">
        <f>IF($H284="","",$H284-WEEKDAY($H284,2)+1)</f>
        <v/>
      </c>
      <c r="J284" s="10" t="str">
        <f>IF($H284="","",DATE(YEAR($H284),MONTH($H284),1))</f>
        <v/>
      </c>
      <c r="K284" s="2"/>
      <c r="L284" s="10"/>
    </row>
    <row r="285" spans="1:12" hidden="1" x14ac:dyDescent="0.2">
      <c r="A285" s="2"/>
      <c r="B285" s="2"/>
      <c r="C285" s="2"/>
      <c r="D285" s="2"/>
      <c r="E285" s="2"/>
      <c r="F285" s="2"/>
      <c r="G285" s="2"/>
      <c r="H285" s="10"/>
      <c r="I285" s="10" t="str">
        <f>IF($H285="","",$H285-WEEKDAY($H285,2)+1)</f>
        <v/>
      </c>
      <c r="J285" s="10" t="str">
        <f>IF($H285="","",DATE(YEAR($H285),MONTH($H285),1))</f>
        <v/>
      </c>
      <c r="K285" s="2"/>
      <c r="L285" s="10"/>
    </row>
    <row r="286" spans="1:12" hidden="1" x14ac:dyDescent="0.2">
      <c r="A286" s="2"/>
      <c r="B286" s="2"/>
      <c r="C286" s="2"/>
      <c r="D286" s="2"/>
      <c r="E286" s="2"/>
      <c r="F286" s="2"/>
      <c r="G286" s="2"/>
      <c r="H286" s="10"/>
      <c r="I286" s="10" t="str">
        <f>IF($H286="","",$H286-WEEKDAY($H286,2)+1)</f>
        <v/>
      </c>
      <c r="J286" s="10" t="str">
        <f>IF($H286="","",DATE(YEAR($H286),MONTH($H286),1))</f>
        <v/>
      </c>
      <c r="K286" s="2"/>
      <c r="L286" s="10"/>
    </row>
    <row r="287" spans="1:12" hidden="1" x14ac:dyDescent="0.2">
      <c r="A287" s="2"/>
      <c r="B287" s="2"/>
      <c r="C287" s="2"/>
      <c r="D287" s="2"/>
      <c r="E287" s="2"/>
      <c r="F287" s="2"/>
      <c r="G287" s="2"/>
      <c r="H287" s="10"/>
      <c r="I287" s="10" t="str">
        <f>IF($H287="","",$H287-WEEKDAY($H287,2)+1)</f>
        <v/>
      </c>
      <c r="J287" s="10" t="str">
        <f>IF($H287="","",DATE(YEAR($H287),MONTH($H287),1))</f>
        <v/>
      </c>
      <c r="K287" s="2"/>
      <c r="L287" s="10"/>
    </row>
    <row r="288" spans="1:12" hidden="1" x14ac:dyDescent="0.2">
      <c r="A288" s="2"/>
      <c r="B288" s="2"/>
      <c r="C288" s="2"/>
      <c r="D288" s="2"/>
      <c r="E288" s="2"/>
      <c r="F288" s="2"/>
      <c r="G288" s="2"/>
      <c r="H288" s="10"/>
      <c r="I288" s="10" t="str">
        <f>IF($H288="","",$H288-WEEKDAY($H288,2)+1)</f>
        <v/>
      </c>
      <c r="J288" s="10" t="str">
        <f>IF($H288="","",DATE(YEAR($H288),MONTH($H288),1))</f>
        <v/>
      </c>
      <c r="K288" s="2"/>
      <c r="L288" s="10"/>
    </row>
    <row r="289" spans="1:12" hidden="1" x14ac:dyDescent="0.2">
      <c r="A289" s="2"/>
      <c r="B289" s="2"/>
      <c r="C289" s="2"/>
      <c r="D289" s="2"/>
      <c r="E289" s="2"/>
      <c r="F289" s="2"/>
      <c r="G289" s="2"/>
      <c r="H289" s="10"/>
      <c r="I289" s="10" t="str">
        <f>IF($H289="","",$H289-WEEKDAY($H289,2)+1)</f>
        <v/>
      </c>
      <c r="J289" s="10" t="str">
        <f>IF($H289="","",DATE(YEAR($H289),MONTH($H289),1))</f>
        <v/>
      </c>
      <c r="K289" s="2"/>
      <c r="L289" s="10"/>
    </row>
    <row r="290" spans="1:12" hidden="1" x14ac:dyDescent="0.2">
      <c r="A290" s="2"/>
      <c r="B290" s="2"/>
      <c r="C290" s="2"/>
      <c r="D290" s="2"/>
      <c r="E290" s="2"/>
      <c r="F290" s="2"/>
      <c r="G290" s="2"/>
      <c r="H290" s="10"/>
      <c r="I290" s="10" t="str">
        <f>IF($H290="","",$H290-WEEKDAY($H290,2)+1)</f>
        <v/>
      </c>
      <c r="J290" s="10" t="str">
        <f>IF($H290="","",DATE(YEAR($H290),MONTH($H290),1))</f>
        <v/>
      </c>
      <c r="K290" s="2"/>
      <c r="L290" s="10"/>
    </row>
    <row r="291" spans="1:12" hidden="1" x14ac:dyDescent="0.2">
      <c r="A291" s="2"/>
      <c r="B291" s="2"/>
      <c r="C291" s="2"/>
      <c r="D291" s="2"/>
      <c r="E291" s="2"/>
      <c r="F291" s="2"/>
      <c r="G291" s="2"/>
      <c r="H291" s="10"/>
      <c r="I291" s="10" t="str">
        <f>IF($H291="","",$H291-WEEKDAY($H291,2)+1)</f>
        <v/>
      </c>
      <c r="J291" s="10" t="str">
        <f>IF($H291="","",DATE(YEAR($H291),MONTH($H291),1))</f>
        <v/>
      </c>
      <c r="K291" s="2"/>
      <c r="L291" s="10"/>
    </row>
    <row r="292" spans="1:12" hidden="1" x14ac:dyDescent="0.2">
      <c r="A292" s="2"/>
      <c r="B292" s="2"/>
      <c r="C292" s="2"/>
      <c r="D292" s="2"/>
      <c r="E292" s="2"/>
      <c r="F292" s="2"/>
      <c r="G292" s="2"/>
      <c r="H292" s="10"/>
      <c r="I292" s="10" t="str">
        <f>IF($H292="","",$H292-WEEKDAY($H292,2)+1)</f>
        <v/>
      </c>
      <c r="J292" s="10" t="str">
        <f>IF($H292="","",DATE(YEAR($H292),MONTH($H292),1))</f>
        <v/>
      </c>
      <c r="K292" s="2"/>
      <c r="L292" s="10"/>
    </row>
    <row r="293" spans="1:12" hidden="1" x14ac:dyDescent="0.2">
      <c r="A293" s="2"/>
      <c r="B293" s="2"/>
      <c r="C293" s="2"/>
      <c r="D293" s="2"/>
      <c r="E293" s="2"/>
      <c r="F293" s="2"/>
      <c r="G293" s="2"/>
      <c r="H293" s="10"/>
      <c r="I293" s="10" t="str">
        <f>IF($H293="","",$H293-WEEKDAY($H293,2)+1)</f>
        <v/>
      </c>
      <c r="J293" s="10" t="str">
        <f>IF($H293="","",DATE(YEAR($H293),MONTH($H293),1))</f>
        <v/>
      </c>
      <c r="K293" s="2"/>
      <c r="L293" s="10"/>
    </row>
    <row r="294" spans="1:12" hidden="1" x14ac:dyDescent="0.2">
      <c r="A294" s="2"/>
      <c r="B294" s="2"/>
      <c r="C294" s="2"/>
      <c r="D294" s="2"/>
      <c r="E294" s="2"/>
      <c r="F294" s="2"/>
      <c r="G294" s="2"/>
      <c r="H294" s="10"/>
      <c r="I294" s="10" t="str">
        <f>IF($H294="","",$H294-WEEKDAY($H294,2)+1)</f>
        <v/>
      </c>
      <c r="J294" s="10" t="str">
        <f>IF($H294="","",DATE(YEAR($H294),MONTH($H294),1))</f>
        <v/>
      </c>
      <c r="K294" s="2"/>
      <c r="L294" s="10"/>
    </row>
    <row r="295" spans="1:12" hidden="1" x14ac:dyDescent="0.2">
      <c r="A295" s="2"/>
      <c r="B295" s="2"/>
      <c r="C295" s="2"/>
      <c r="D295" s="2"/>
      <c r="E295" s="2"/>
      <c r="F295" s="2"/>
      <c r="G295" s="2"/>
      <c r="H295" s="10"/>
      <c r="I295" s="10" t="str">
        <f>IF($H295="","",$H295-WEEKDAY($H295,2)+1)</f>
        <v/>
      </c>
      <c r="J295" s="10" t="str">
        <f>IF($H295="","",DATE(YEAR($H295),MONTH($H295),1))</f>
        <v/>
      </c>
      <c r="K295" s="2"/>
      <c r="L295" s="10"/>
    </row>
    <row r="296" spans="1:12" hidden="1" x14ac:dyDescent="0.2">
      <c r="A296" s="2"/>
      <c r="B296" s="2"/>
      <c r="C296" s="2"/>
      <c r="D296" s="2"/>
      <c r="E296" s="2"/>
      <c r="F296" s="2"/>
      <c r="G296" s="2"/>
      <c r="H296" s="10"/>
      <c r="I296" s="10" t="str">
        <f>IF($H296="","",$H296-WEEKDAY($H296,2)+1)</f>
        <v/>
      </c>
      <c r="J296" s="10" t="str">
        <f>IF($H296="","",DATE(YEAR($H296),MONTH($H296),1))</f>
        <v/>
      </c>
      <c r="K296" s="2"/>
      <c r="L296" s="10"/>
    </row>
    <row r="297" spans="1:12" hidden="1" x14ac:dyDescent="0.2">
      <c r="A297" s="2"/>
      <c r="B297" s="2"/>
      <c r="C297" s="2"/>
      <c r="D297" s="2"/>
      <c r="E297" s="2"/>
      <c r="F297" s="2"/>
      <c r="G297" s="2"/>
      <c r="H297" s="10"/>
      <c r="I297" s="10" t="str">
        <f>IF($H297="","",$H297-WEEKDAY($H297,2)+1)</f>
        <v/>
      </c>
      <c r="J297" s="10" t="str">
        <f>IF($H297="","",DATE(YEAR($H297),MONTH($H297),1))</f>
        <v/>
      </c>
      <c r="K297" s="2"/>
      <c r="L297" s="10"/>
    </row>
    <row r="298" spans="1:12" hidden="1" x14ac:dyDescent="0.2">
      <c r="A298" s="2"/>
      <c r="B298" s="2"/>
      <c r="C298" s="2"/>
      <c r="D298" s="2"/>
      <c r="E298" s="2"/>
      <c r="F298" s="2"/>
      <c r="G298" s="2"/>
      <c r="H298" s="10"/>
      <c r="I298" s="10" t="str">
        <f>IF($H298="","",$H298-WEEKDAY($H298,2)+1)</f>
        <v/>
      </c>
      <c r="J298" s="10" t="str">
        <f>IF($H298="","",DATE(YEAR($H298),MONTH($H298),1))</f>
        <v/>
      </c>
      <c r="K298" s="2"/>
      <c r="L298" s="10"/>
    </row>
    <row r="299" spans="1:12" hidden="1" x14ac:dyDescent="0.2">
      <c r="A299" s="2"/>
      <c r="B299" s="2"/>
      <c r="C299" s="2"/>
      <c r="D299" s="2"/>
      <c r="E299" s="2"/>
      <c r="F299" s="2"/>
      <c r="G299" s="2"/>
      <c r="H299" s="10"/>
      <c r="I299" s="10" t="str">
        <f>IF($H299="","",$H299-WEEKDAY($H299,2)+1)</f>
        <v/>
      </c>
      <c r="J299" s="10" t="str">
        <f>IF($H299="","",DATE(YEAR($H299),MONTH($H299),1))</f>
        <v/>
      </c>
      <c r="K299" s="2"/>
      <c r="L299" s="10"/>
    </row>
    <row r="300" spans="1:12" hidden="1" x14ac:dyDescent="0.2">
      <c r="A300" s="2"/>
      <c r="B300" s="2"/>
      <c r="C300" s="2"/>
      <c r="D300" s="2"/>
      <c r="E300" s="2"/>
      <c r="F300" s="2"/>
      <c r="G300" s="2"/>
      <c r="H300" s="10"/>
      <c r="I300" s="10" t="str">
        <f>IF($H300="","",$H300-WEEKDAY($H300,2)+1)</f>
        <v/>
      </c>
      <c r="J300" s="10" t="str">
        <f>IF($H300="","",DATE(YEAR($H300),MONTH($H300),1))</f>
        <v/>
      </c>
      <c r="K300" s="2"/>
      <c r="L300" s="10"/>
    </row>
    <row r="301" spans="1:12" hidden="1" x14ac:dyDescent="0.2">
      <c r="A301" s="2"/>
      <c r="B301" s="2"/>
      <c r="C301" s="2"/>
      <c r="D301" s="2"/>
      <c r="E301" s="2"/>
      <c r="F301" s="2"/>
      <c r="G301" s="2"/>
      <c r="H301" s="10"/>
      <c r="I301" s="10" t="str">
        <f>IF($H301="","",$H301-WEEKDAY($H301,2)+1)</f>
        <v/>
      </c>
      <c r="J301" s="10" t="str">
        <f>IF($H301="","",DATE(YEAR($H301),MONTH($H301),1))</f>
        <v/>
      </c>
      <c r="K301" s="2"/>
      <c r="L301" s="10"/>
    </row>
    <row r="302" spans="1:12" hidden="1" x14ac:dyDescent="0.2">
      <c r="A302" s="2"/>
      <c r="B302" s="2"/>
      <c r="C302" s="2"/>
      <c r="D302" s="2"/>
      <c r="E302" s="2"/>
      <c r="F302" s="2"/>
      <c r="G302" s="2"/>
      <c r="H302" s="10"/>
      <c r="I302" s="10" t="str">
        <f>IF($H302="","",$H302-WEEKDAY($H302,2)+1)</f>
        <v/>
      </c>
      <c r="J302" s="10" t="str">
        <f>IF($H302="","",DATE(YEAR($H302),MONTH($H302),1))</f>
        <v/>
      </c>
      <c r="K302" s="2"/>
      <c r="L302" s="10"/>
    </row>
    <row r="303" spans="1:12" hidden="1" x14ac:dyDescent="0.2">
      <c r="A303" s="2"/>
      <c r="B303" s="2"/>
      <c r="C303" s="2"/>
      <c r="D303" s="2"/>
      <c r="E303" s="2"/>
      <c r="F303" s="2"/>
      <c r="G303" s="2"/>
      <c r="H303" s="10"/>
      <c r="I303" s="10" t="str">
        <f>IF($H303="","",$H303-WEEKDAY($H303,2)+1)</f>
        <v/>
      </c>
      <c r="J303" s="10" t="str">
        <f>IF($H303="","",DATE(YEAR($H303),MONTH($H303),1))</f>
        <v/>
      </c>
      <c r="K303" s="2"/>
      <c r="L303" s="10"/>
    </row>
    <row r="304" spans="1:12" hidden="1" x14ac:dyDescent="0.2">
      <c r="A304" s="2"/>
      <c r="B304" s="2"/>
      <c r="C304" s="2"/>
      <c r="D304" s="2"/>
      <c r="E304" s="2"/>
      <c r="F304" s="2"/>
      <c r="G304" s="2"/>
      <c r="H304" s="10"/>
      <c r="I304" s="10" t="str">
        <f>IF($H304="","",$H304-WEEKDAY($H304,2)+1)</f>
        <v/>
      </c>
      <c r="J304" s="10" t="str">
        <f>IF($H304="","",DATE(YEAR($H304),MONTH($H304),1))</f>
        <v/>
      </c>
      <c r="K304" s="2"/>
      <c r="L304" s="10"/>
    </row>
    <row r="305" spans="1:12" hidden="1" x14ac:dyDescent="0.2">
      <c r="A305" s="2"/>
      <c r="B305" s="2"/>
      <c r="C305" s="2"/>
      <c r="D305" s="2"/>
      <c r="E305" s="2"/>
      <c r="F305" s="2"/>
      <c r="G305" s="2"/>
      <c r="H305" s="10"/>
      <c r="I305" s="10" t="str">
        <f>IF($H305="","",$H305-WEEKDAY($H305,2)+1)</f>
        <v/>
      </c>
      <c r="J305" s="10" t="str">
        <f>IF($H305="","",DATE(YEAR($H305),MONTH($H305),1))</f>
        <v/>
      </c>
      <c r="K305" s="2"/>
      <c r="L305" s="10"/>
    </row>
    <row r="306" spans="1:12" hidden="1" x14ac:dyDescent="0.2">
      <c r="A306" s="2"/>
      <c r="B306" s="2"/>
      <c r="C306" s="2"/>
      <c r="D306" s="2"/>
      <c r="E306" s="2"/>
      <c r="F306" s="2"/>
      <c r="G306" s="2"/>
      <c r="H306" s="10"/>
      <c r="I306" s="10" t="str">
        <f>IF($H306="","",$H306-WEEKDAY($H306,2)+1)</f>
        <v/>
      </c>
      <c r="J306" s="10" t="str">
        <f>IF($H306="","",DATE(YEAR($H306),MONTH($H306),1))</f>
        <v/>
      </c>
      <c r="K306" s="2"/>
      <c r="L306" s="10"/>
    </row>
    <row r="307" spans="1:12" hidden="1" x14ac:dyDescent="0.2">
      <c r="A307" s="2"/>
      <c r="B307" s="2"/>
      <c r="C307" s="2"/>
      <c r="D307" s="2"/>
      <c r="E307" s="2"/>
      <c r="F307" s="2"/>
      <c r="G307" s="2"/>
      <c r="H307" s="10"/>
      <c r="I307" s="10" t="str">
        <f>IF($H307="","",$H307-WEEKDAY($H307,2)+1)</f>
        <v/>
      </c>
      <c r="J307" s="10" t="str">
        <f>IF($H307="","",DATE(YEAR($H307),MONTH($H307),1))</f>
        <v/>
      </c>
      <c r="K307" s="2"/>
      <c r="L307" s="10"/>
    </row>
    <row r="308" spans="1:12" hidden="1" x14ac:dyDescent="0.2">
      <c r="A308" s="2"/>
      <c r="B308" s="2"/>
      <c r="C308" s="2"/>
      <c r="D308" s="2"/>
      <c r="E308" s="2"/>
      <c r="F308" s="2"/>
      <c r="G308" s="2"/>
      <c r="H308" s="10"/>
      <c r="I308" s="10" t="str">
        <f>IF($H308="","",$H308-WEEKDAY($H308,2)+1)</f>
        <v/>
      </c>
      <c r="J308" s="10" t="str">
        <f>IF($H308="","",DATE(YEAR($H308),MONTH($H308),1))</f>
        <v/>
      </c>
      <c r="K308" s="2"/>
      <c r="L308" s="10"/>
    </row>
    <row r="309" spans="1:12" hidden="1" x14ac:dyDescent="0.2">
      <c r="A309" s="2"/>
      <c r="B309" s="2"/>
      <c r="C309" s="2"/>
      <c r="D309" s="2"/>
      <c r="E309" s="2"/>
      <c r="F309" s="2"/>
      <c r="G309" s="2"/>
      <c r="H309" s="10"/>
      <c r="I309" s="10" t="str">
        <f>IF($H309="","",$H309-WEEKDAY($H309,2)+1)</f>
        <v/>
      </c>
      <c r="J309" s="10" t="str">
        <f>IF($H309="","",DATE(YEAR($H309),MONTH($H309),1))</f>
        <v/>
      </c>
      <c r="K309" s="2"/>
      <c r="L309" s="10"/>
    </row>
    <row r="310" spans="1:12" hidden="1" x14ac:dyDescent="0.2">
      <c r="A310" s="2"/>
      <c r="B310" s="2"/>
      <c r="C310" s="2"/>
      <c r="D310" s="2"/>
      <c r="E310" s="2"/>
      <c r="F310" s="2"/>
      <c r="G310" s="2"/>
      <c r="H310" s="10"/>
      <c r="I310" s="10" t="str">
        <f>IF($H310="","",$H310-WEEKDAY($H310,2)+1)</f>
        <v/>
      </c>
      <c r="J310" s="10" t="str">
        <f>IF($H310="","",DATE(YEAR($H310),MONTH($H310),1))</f>
        <v/>
      </c>
      <c r="K310" s="2"/>
      <c r="L310" s="10"/>
    </row>
    <row r="311" spans="1:12" hidden="1" x14ac:dyDescent="0.2">
      <c r="A311" s="2"/>
      <c r="B311" s="2"/>
      <c r="C311" s="2"/>
      <c r="D311" s="2"/>
      <c r="E311" s="2"/>
      <c r="F311" s="2"/>
      <c r="G311" s="2"/>
      <c r="H311" s="10"/>
      <c r="I311" s="10" t="str">
        <f>IF($H311="","",$H311-WEEKDAY($H311,2)+1)</f>
        <v/>
      </c>
      <c r="J311" s="10" t="str">
        <f>IF($H311="","",DATE(YEAR($H311),MONTH($H311),1))</f>
        <v/>
      </c>
      <c r="K311" s="2"/>
      <c r="L311" s="10"/>
    </row>
    <row r="312" spans="1:12" hidden="1" x14ac:dyDescent="0.2">
      <c r="A312" s="2"/>
      <c r="B312" s="2"/>
      <c r="C312" s="2"/>
      <c r="D312" s="2"/>
      <c r="E312" s="2"/>
      <c r="F312" s="2"/>
      <c r="G312" s="2"/>
      <c r="H312" s="10"/>
      <c r="I312" s="10" t="str">
        <f>IF($H312="","",$H312-WEEKDAY($H312,2)+1)</f>
        <v/>
      </c>
      <c r="J312" s="10" t="str">
        <f>IF($H312="","",DATE(YEAR($H312),MONTH($H312),1))</f>
        <v/>
      </c>
      <c r="K312" s="2"/>
      <c r="L312" s="10"/>
    </row>
    <row r="313" spans="1:12" hidden="1" x14ac:dyDescent="0.2">
      <c r="A313" s="2"/>
      <c r="B313" s="2"/>
      <c r="C313" s="2"/>
      <c r="D313" s="2"/>
      <c r="E313" s="2"/>
      <c r="F313" s="2"/>
      <c r="G313" s="2"/>
      <c r="H313" s="10"/>
      <c r="I313" s="10" t="str">
        <f>IF($H313="","",$H313-WEEKDAY($H313,2)+1)</f>
        <v/>
      </c>
      <c r="J313" s="10" t="str">
        <f>IF($H313="","",DATE(YEAR($H313),MONTH($H313),1))</f>
        <v/>
      </c>
      <c r="K313" s="2"/>
      <c r="L313" s="10"/>
    </row>
    <row r="314" spans="1:12" hidden="1" x14ac:dyDescent="0.2">
      <c r="A314" s="2"/>
      <c r="B314" s="2"/>
      <c r="C314" s="2"/>
      <c r="D314" s="2"/>
      <c r="E314" s="2"/>
      <c r="F314" s="2"/>
      <c r="G314" s="2"/>
      <c r="H314" s="10"/>
      <c r="I314" s="10" t="str">
        <f>IF($H314="","",$H314-WEEKDAY($H314,2)+1)</f>
        <v/>
      </c>
      <c r="J314" s="10" t="str">
        <f>IF($H314="","",DATE(YEAR($H314),MONTH($H314),1))</f>
        <v/>
      </c>
      <c r="K314" s="2"/>
      <c r="L314" s="10"/>
    </row>
    <row r="315" spans="1:12" hidden="1" x14ac:dyDescent="0.2">
      <c r="A315" s="2"/>
      <c r="B315" s="2"/>
      <c r="C315" s="2"/>
      <c r="D315" s="2"/>
      <c r="E315" s="2"/>
      <c r="F315" s="2"/>
      <c r="G315" s="2"/>
      <c r="H315" s="10"/>
      <c r="I315" s="10" t="str">
        <f>IF($H315="","",$H315-WEEKDAY($H315,2)+1)</f>
        <v/>
      </c>
      <c r="J315" s="10" t="str">
        <f>IF($H315="","",DATE(YEAR($H315),MONTH($H315),1))</f>
        <v/>
      </c>
      <c r="K315" s="2"/>
      <c r="L315" s="10"/>
    </row>
    <row r="316" spans="1:12" hidden="1" x14ac:dyDescent="0.2">
      <c r="A316" s="2"/>
      <c r="B316" s="2"/>
      <c r="C316" s="2"/>
      <c r="D316" s="2"/>
      <c r="E316" s="2"/>
      <c r="F316" s="2"/>
      <c r="G316" s="2"/>
      <c r="H316" s="10"/>
      <c r="I316" s="10" t="str">
        <f>IF($H316="","",$H316-WEEKDAY($H316,2)+1)</f>
        <v/>
      </c>
      <c r="J316" s="10" t="str">
        <f>IF($H316="","",DATE(YEAR($H316),MONTH($H316),1))</f>
        <v/>
      </c>
      <c r="K316" s="2"/>
      <c r="L316" s="10"/>
    </row>
    <row r="317" spans="1:12" hidden="1" x14ac:dyDescent="0.2">
      <c r="A317" s="2"/>
      <c r="B317" s="2"/>
      <c r="C317" s="2"/>
      <c r="D317" s="2"/>
      <c r="E317" s="2"/>
      <c r="F317" s="2"/>
      <c r="G317" s="2"/>
      <c r="H317" s="10"/>
      <c r="I317" s="10" t="str">
        <f>IF($H317="","",$H317-WEEKDAY($H317,2)+1)</f>
        <v/>
      </c>
      <c r="J317" s="10" t="str">
        <f>IF($H317="","",DATE(YEAR($H317),MONTH($H317),1))</f>
        <v/>
      </c>
      <c r="K317" s="2"/>
      <c r="L317" s="10"/>
    </row>
    <row r="318" spans="1:12" hidden="1" x14ac:dyDescent="0.2">
      <c r="A318" s="2"/>
      <c r="B318" s="2"/>
      <c r="C318" s="2"/>
      <c r="D318" s="2"/>
      <c r="E318" s="2"/>
      <c r="F318" s="2"/>
      <c r="G318" s="2"/>
      <c r="H318" s="10"/>
      <c r="I318" s="10" t="str">
        <f>IF($H318="","",$H318-WEEKDAY($H318,2)+1)</f>
        <v/>
      </c>
      <c r="J318" s="10" t="str">
        <f>IF($H318="","",DATE(YEAR($H318),MONTH($H318),1))</f>
        <v/>
      </c>
      <c r="K318" s="2"/>
      <c r="L318" s="10"/>
    </row>
    <row r="319" spans="1:12" hidden="1" x14ac:dyDescent="0.2">
      <c r="A319" s="2"/>
      <c r="B319" s="2"/>
      <c r="C319" s="2"/>
      <c r="D319" s="2"/>
      <c r="E319" s="2"/>
      <c r="F319" s="2"/>
      <c r="G319" s="2"/>
      <c r="H319" s="10"/>
      <c r="I319" s="10" t="str">
        <f>IF($H319="","",$H319-WEEKDAY($H319,2)+1)</f>
        <v/>
      </c>
      <c r="J319" s="10" t="str">
        <f>IF($H319="","",DATE(YEAR($H319),MONTH($H319),1))</f>
        <v/>
      </c>
      <c r="K319" s="2"/>
      <c r="L319" s="10"/>
    </row>
    <row r="320" spans="1:12" hidden="1" x14ac:dyDescent="0.2">
      <c r="A320" s="2"/>
      <c r="B320" s="2"/>
      <c r="C320" s="2"/>
      <c r="D320" s="2"/>
      <c r="E320" s="2"/>
      <c r="F320" s="2"/>
      <c r="G320" s="2"/>
      <c r="H320" s="10"/>
      <c r="I320" s="10" t="str">
        <f>IF($H320="","",$H320-WEEKDAY($H320,2)+1)</f>
        <v/>
      </c>
      <c r="J320" s="10" t="str">
        <f>IF($H320="","",DATE(YEAR($H320),MONTH($H320),1))</f>
        <v/>
      </c>
      <c r="K320" s="2"/>
      <c r="L320" s="10"/>
    </row>
    <row r="321" spans="1:12" hidden="1" x14ac:dyDescent="0.2">
      <c r="A321" s="2"/>
      <c r="B321" s="2"/>
      <c r="C321" s="2"/>
      <c r="D321" s="2"/>
      <c r="E321" s="2"/>
      <c r="F321" s="2"/>
      <c r="G321" s="2"/>
      <c r="H321" s="10"/>
      <c r="I321" s="10" t="str">
        <f>IF($H321="","",$H321-WEEKDAY($H321,2)+1)</f>
        <v/>
      </c>
      <c r="J321" s="10" t="str">
        <f>IF($H321="","",DATE(YEAR($H321),MONTH($H321),1))</f>
        <v/>
      </c>
      <c r="K321" s="2"/>
      <c r="L321" s="10"/>
    </row>
    <row r="322" spans="1:12" hidden="1" x14ac:dyDescent="0.2">
      <c r="A322" s="2"/>
      <c r="B322" s="2"/>
      <c r="C322" s="2"/>
      <c r="D322" s="2"/>
      <c r="E322" s="2"/>
      <c r="F322" s="2"/>
      <c r="G322" s="2"/>
      <c r="H322" s="10"/>
      <c r="I322" s="10" t="str">
        <f>IF($H322="","",$H322-WEEKDAY($H322,2)+1)</f>
        <v/>
      </c>
      <c r="J322" s="10" t="str">
        <f>IF($H322="","",DATE(YEAR($H322),MONTH($H322),1))</f>
        <v/>
      </c>
      <c r="K322" s="2"/>
      <c r="L322" s="10"/>
    </row>
    <row r="323" spans="1:12" hidden="1" x14ac:dyDescent="0.2">
      <c r="A323" s="2"/>
      <c r="B323" s="2"/>
      <c r="C323" s="2"/>
      <c r="D323" s="2"/>
      <c r="E323" s="2"/>
      <c r="F323" s="2"/>
      <c r="G323" s="2"/>
      <c r="H323" s="10"/>
      <c r="I323" s="10" t="str">
        <f>IF($H323="","",$H323-WEEKDAY($H323,2)+1)</f>
        <v/>
      </c>
      <c r="J323" s="10" t="str">
        <f>IF($H323="","",DATE(YEAR($H323),MONTH($H323),1))</f>
        <v/>
      </c>
      <c r="K323" s="2"/>
      <c r="L323" s="10"/>
    </row>
    <row r="324" spans="1:12" hidden="1" x14ac:dyDescent="0.2">
      <c r="A324" s="2"/>
      <c r="B324" s="2"/>
      <c r="C324" s="2"/>
      <c r="D324" s="2"/>
      <c r="E324" s="2"/>
      <c r="F324" s="2"/>
      <c r="G324" s="2"/>
      <c r="H324" s="10"/>
      <c r="I324" s="10" t="str">
        <f>IF($H324="","",$H324-WEEKDAY($H324,2)+1)</f>
        <v/>
      </c>
      <c r="J324" s="10" t="str">
        <f>IF($H324="","",DATE(YEAR($H324),MONTH($H324),1))</f>
        <v/>
      </c>
      <c r="K324" s="2"/>
      <c r="L324" s="10"/>
    </row>
    <row r="325" spans="1:12" hidden="1" x14ac:dyDescent="0.2">
      <c r="A325" s="2"/>
      <c r="B325" s="2"/>
      <c r="C325" s="2"/>
      <c r="D325" s="2"/>
      <c r="E325" s="2"/>
      <c r="F325" s="2"/>
      <c r="G325" s="2"/>
      <c r="H325" s="10"/>
      <c r="I325" s="10" t="str">
        <f>IF($H325="","",$H325-WEEKDAY($H325,2)+1)</f>
        <v/>
      </c>
      <c r="J325" s="10" t="str">
        <f>IF($H325="","",DATE(YEAR($H325),MONTH($H325),1))</f>
        <v/>
      </c>
      <c r="K325" s="2"/>
      <c r="L325" s="10"/>
    </row>
    <row r="326" spans="1:12" hidden="1" x14ac:dyDescent="0.2">
      <c r="A326" s="2"/>
      <c r="B326" s="2"/>
      <c r="C326" s="2"/>
      <c r="D326" s="2"/>
      <c r="E326" s="2"/>
      <c r="F326" s="2"/>
      <c r="G326" s="2"/>
      <c r="H326" s="10"/>
      <c r="I326" s="10" t="str">
        <f>IF($H326="","",$H326-WEEKDAY($H326,2)+1)</f>
        <v/>
      </c>
      <c r="J326" s="10" t="str">
        <f>IF($H326="","",DATE(YEAR($H326),MONTH($H326),1))</f>
        <v/>
      </c>
      <c r="K326" s="2"/>
      <c r="L326" s="10"/>
    </row>
    <row r="327" spans="1:12" hidden="1" x14ac:dyDescent="0.2">
      <c r="A327" s="2"/>
      <c r="B327" s="2"/>
      <c r="C327" s="2"/>
      <c r="D327" s="2"/>
      <c r="E327" s="2"/>
      <c r="F327" s="2"/>
      <c r="G327" s="2"/>
      <c r="H327" s="10"/>
      <c r="I327" s="10" t="str">
        <f>IF($H327="","",$H327-WEEKDAY($H327,2)+1)</f>
        <v/>
      </c>
      <c r="J327" s="10" t="str">
        <f>IF($H327="","",DATE(YEAR($H327),MONTH($H327),1))</f>
        <v/>
      </c>
      <c r="K327" s="2"/>
      <c r="L327" s="10"/>
    </row>
    <row r="328" spans="1:12" hidden="1" x14ac:dyDescent="0.2">
      <c r="A328" s="2"/>
      <c r="B328" s="2"/>
      <c r="C328" s="2"/>
      <c r="D328" s="2"/>
      <c r="E328" s="2"/>
      <c r="F328" s="2"/>
      <c r="G328" s="2"/>
      <c r="H328" s="10"/>
      <c r="I328" s="10" t="str">
        <f>IF($H328="","",$H328-WEEKDAY($H328,2)+1)</f>
        <v/>
      </c>
      <c r="J328" s="10" t="str">
        <f>IF($H328="","",DATE(YEAR($H328),MONTH($H328),1))</f>
        <v/>
      </c>
      <c r="K328" s="2"/>
      <c r="L328" s="10"/>
    </row>
    <row r="329" spans="1:12" hidden="1" x14ac:dyDescent="0.2">
      <c r="A329" s="2"/>
      <c r="B329" s="2"/>
      <c r="C329" s="2"/>
      <c r="D329" s="2"/>
      <c r="E329" s="2"/>
      <c r="F329" s="2"/>
      <c r="G329" s="2"/>
      <c r="H329" s="10"/>
      <c r="I329" s="10" t="str">
        <f>IF($H329="","",$H329-WEEKDAY($H329,2)+1)</f>
        <v/>
      </c>
      <c r="J329" s="10" t="str">
        <f>IF($H329="","",DATE(YEAR($H329),MONTH($H329),1))</f>
        <v/>
      </c>
      <c r="K329" s="2"/>
      <c r="L329" s="10"/>
    </row>
    <row r="330" spans="1:12" hidden="1" x14ac:dyDescent="0.2">
      <c r="A330" s="2"/>
      <c r="B330" s="2"/>
      <c r="C330" s="2"/>
      <c r="D330" s="2"/>
      <c r="E330" s="2"/>
      <c r="F330" s="2"/>
      <c r="G330" s="2"/>
      <c r="H330" s="10"/>
      <c r="I330" s="10" t="str">
        <f>IF($H330="","",$H330-WEEKDAY($H330,2)+1)</f>
        <v/>
      </c>
      <c r="J330" s="10" t="str">
        <f>IF($H330="","",DATE(YEAR($H330),MONTH($H330),1))</f>
        <v/>
      </c>
      <c r="K330" s="2"/>
      <c r="L330" s="10"/>
    </row>
    <row r="331" spans="1:12" hidden="1" x14ac:dyDescent="0.2">
      <c r="A331" s="2"/>
      <c r="B331" s="2"/>
      <c r="C331" s="2"/>
      <c r="D331" s="2"/>
      <c r="E331" s="2"/>
      <c r="F331" s="2"/>
      <c r="G331" s="2"/>
      <c r="H331" s="10"/>
      <c r="I331" s="10" t="str">
        <f>IF($H331="","",$H331-WEEKDAY($H331,2)+1)</f>
        <v/>
      </c>
      <c r="J331" s="10" t="str">
        <f>IF($H331="","",DATE(YEAR($H331),MONTH($H331),1))</f>
        <v/>
      </c>
      <c r="K331" s="2"/>
      <c r="L331" s="10"/>
    </row>
    <row r="332" spans="1:12" hidden="1" x14ac:dyDescent="0.2">
      <c r="A332" s="2"/>
      <c r="B332" s="2"/>
      <c r="C332" s="2"/>
      <c r="D332" s="2"/>
      <c r="E332" s="2"/>
      <c r="F332" s="2"/>
      <c r="G332" s="2"/>
      <c r="H332" s="10"/>
      <c r="I332" s="10" t="str">
        <f>IF($H332="","",$H332-WEEKDAY($H332,2)+1)</f>
        <v/>
      </c>
      <c r="J332" s="10" t="str">
        <f>IF($H332="","",DATE(YEAR($H332),MONTH($H332),1))</f>
        <v/>
      </c>
      <c r="K332" s="2"/>
      <c r="L332" s="10"/>
    </row>
    <row r="333" spans="1:12" hidden="1" x14ac:dyDescent="0.2">
      <c r="A333" s="2"/>
      <c r="B333" s="2"/>
      <c r="C333" s="2"/>
      <c r="D333" s="2"/>
      <c r="E333" s="2"/>
      <c r="F333" s="2"/>
      <c r="G333" s="2"/>
      <c r="H333" s="10"/>
      <c r="I333" s="10" t="str">
        <f>IF($H333="","",$H333-WEEKDAY($H333,2)+1)</f>
        <v/>
      </c>
      <c r="J333" s="10" t="str">
        <f>IF($H333="","",DATE(YEAR($H333),MONTH($H333),1))</f>
        <v/>
      </c>
      <c r="K333" s="2"/>
      <c r="L333" s="10"/>
    </row>
    <row r="334" spans="1:12" hidden="1" x14ac:dyDescent="0.2">
      <c r="A334" s="2"/>
      <c r="B334" s="2"/>
      <c r="C334" s="2"/>
      <c r="D334" s="2"/>
      <c r="E334" s="2"/>
      <c r="F334" s="2"/>
      <c r="G334" s="2"/>
      <c r="H334" s="10"/>
      <c r="I334" s="10" t="str">
        <f>IF($H334="","",$H334-WEEKDAY($H334,2)+1)</f>
        <v/>
      </c>
      <c r="J334" s="10" t="str">
        <f>IF($H334="","",DATE(YEAR($H334),MONTH($H334),1))</f>
        <v/>
      </c>
      <c r="K334" s="2"/>
      <c r="L334" s="10"/>
    </row>
    <row r="335" spans="1:12" hidden="1" x14ac:dyDescent="0.2">
      <c r="A335" s="2"/>
      <c r="B335" s="2"/>
      <c r="C335" s="2"/>
      <c r="D335" s="2"/>
      <c r="E335" s="2"/>
      <c r="F335" s="2"/>
      <c r="G335" s="2"/>
      <c r="H335" s="10"/>
      <c r="I335" s="10" t="str">
        <f>IF($H335="","",$H335-WEEKDAY($H335,2)+1)</f>
        <v/>
      </c>
      <c r="J335" s="10" t="str">
        <f>IF($H335="","",DATE(YEAR($H335),MONTH($H335),1))</f>
        <v/>
      </c>
      <c r="K335" s="2"/>
      <c r="L335" s="10"/>
    </row>
    <row r="336" spans="1:12" hidden="1" x14ac:dyDescent="0.2">
      <c r="A336" s="2"/>
      <c r="B336" s="2"/>
      <c r="C336" s="2"/>
      <c r="D336" s="2"/>
      <c r="E336" s="2"/>
      <c r="F336" s="2"/>
      <c r="G336" s="2"/>
      <c r="H336" s="10"/>
      <c r="I336" s="10" t="str">
        <f>IF($H336="","",$H336-WEEKDAY($H336,2)+1)</f>
        <v/>
      </c>
      <c r="J336" s="10" t="str">
        <f>IF($H336="","",DATE(YEAR($H336),MONTH($H336),1))</f>
        <v/>
      </c>
      <c r="K336" s="2"/>
      <c r="L336" s="10"/>
    </row>
    <row r="337" spans="1:12" hidden="1" x14ac:dyDescent="0.2">
      <c r="A337" s="2"/>
      <c r="B337" s="2"/>
      <c r="C337" s="2"/>
      <c r="D337" s="2"/>
      <c r="E337" s="2"/>
      <c r="F337" s="2"/>
      <c r="G337" s="2"/>
      <c r="H337" s="10"/>
      <c r="I337" s="10" t="str">
        <f>IF($H337="","",$H337-WEEKDAY($H337,2)+1)</f>
        <v/>
      </c>
      <c r="J337" s="10" t="str">
        <f>IF($H337="","",DATE(YEAR($H337),MONTH($H337),1))</f>
        <v/>
      </c>
      <c r="K337" s="2"/>
      <c r="L337" s="10"/>
    </row>
    <row r="338" spans="1:12" hidden="1" x14ac:dyDescent="0.2">
      <c r="A338" s="2"/>
      <c r="B338" s="2"/>
      <c r="C338" s="2"/>
      <c r="D338" s="2"/>
      <c r="E338" s="2"/>
      <c r="F338" s="2"/>
      <c r="G338" s="2"/>
      <c r="H338" s="10"/>
      <c r="I338" s="10" t="str">
        <f>IF($H338="","",$H338-WEEKDAY($H338,2)+1)</f>
        <v/>
      </c>
      <c r="J338" s="10" t="str">
        <f>IF($H338="","",DATE(YEAR($H338),MONTH($H338),1))</f>
        <v/>
      </c>
      <c r="K338" s="2"/>
      <c r="L338" s="10"/>
    </row>
    <row r="339" spans="1:12" hidden="1" x14ac:dyDescent="0.2">
      <c r="A339" s="2"/>
      <c r="B339" s="2"/>
      <c r="C339" s="2"/>
      <c r="D339" s="2"/>
      <c r="E339" s="2"/>
      <c r="F339" s="2"/>
      <c r="G339" s="2"/>
      <c r="H339" s="10"/>
      <c r="I339" s="10" t="str">
        <f>IF($H339="","",$H339-WEEKDAY($H339,2)+1)</f>
        <v/>
      </c>
      <c r="J339" s="10" t="str">
        <f>IF($H339="","",DATE(YEAR($H339),MONTH($H339),1))</f>
        <v/>
      </c>
      <c r="K339" s="2"/>
      <c r="L339" s="10"/>
    </row>
    <row r="340" spans="1:12" hidden="1" x14ac:dyDescent="0.2">
      <c r="A340" s="2"/>
      <c r="B340" s="2"/>
      <c r="C340" s="2"/>
      <c r="D340" s="2"/>
      <c r="E340" s="2"/>
      <c r="F340" s="2"/>
      <c r="G340" s="2"/>
      <c r="H340" s="10"/>
      <c r="I340" s="10" t="str">
        <f>IF($H340="","",$H340-WEEKDAY($H340,2)+1)</f>
        <v/>
      </c>
      <c r="J340" s="10" t="str">
        <f>IF($H340="","",DATE(YEAR($H340),MONTH($H340),1))</f>
        <v/>
      </c>
      <c r="K340" s="2"/>
      <c r="L340" s="10"/>
    </row>
    <row r="341" spans="1:12" hidden="1" x14ac:dyDescent="0.2">
      <c r="A341" s="2"/>
      <c r="B341" s="2"/>
      <c r="C341" s="2"/>
      <c r="D341" s="2"/>
      <c r="E341" s="2"/>
      <c r="F341" s="2"/>
      <c r="G341" s="2"/>
      <c r="H341" s="10"/>
      <c r="I341" s="10" t="str">
        <f>IF($H341="","",$H341-WEEKDAY($H341,2)+1)</f>
        <v/>
      </c>
      <c r="J341" s="10" t="str">
        <f>IF($H341="","",DATE(YEAR($H341),MONTH($H341),1))</f>
        <v/>
      </c>
      <c r="K341" s="2"/>
      <c r="L341" s="10"/>
    </row>
    <row r="342" spans="1:12" hidden="1" x14ac:dyDescent="0.2">
      <c r="A342" s="2"/>
      <c r="B342" s="2"/>
      <c r="C342" s="2"/>
      <c r="D342" s="2"/>
      <c r="E342" s="2"/>
      <c r="F342" s="2"/>
      <c r="G342" s="2"/>
      <c r="H342" s="10"/>
      <c r="I342" s="10" t="str">
        <f>IF($H342="","",$H342-WEEKDAY($H342,2)+1)</f>
        <v/>
      </c>
      <c r="J342" s="10" t="str">
        <f>IF($H342="","",DATE(YEAR($H342),MONTH($H342),1))</f>
        <v/>
      </c>
      <c r="K342" s="2"/>
      <c r="L342" s="10"/>
    </row>
    <row r="343" spans="1:12" hidden="1" x14ac:dyDescent="0.2">
      <c r="A343" s="2"/>
      <c r="B343" s="2"/>
      <c r="C343" s="2"/>
      <c r="D343" s="2"/>
      <c r="E343" s="2"/>
      <c r="F343" s="2"/>
      <c r="G343" s="2"/>
      <c r="H343" s="10"/>
      <c r="I343" s="10" t="str">
        <f>IF($H343="","",$H343-WEEKDAY($H343,2)+1)</f>
        <v/>
      </c>
      <c r="J343" s="10" t="str">
        <f>IF($H343="","",DATE(YEAR($H343),MONTH($H343),1))</f>
        <v/>
      </c>
      <c r="K343" s="2"/>
      <c r="L343" s="10"/>
    </row>
    <row r="344" spans="1:12" hidden="1" x14ac:dyDescent="0.2">
      <c r="A344" s="2"/>
      <c r="B344" s="2"/>
      <c r="C344" s="2"/>
      <c r="D344" s="2"/>
      <c r="E344" s="2"/>
      <c r="F344" s="2"/>
      <c r="G344" s="2"/>
      <c r="H344" s="10"/>
      <c r="I344" s="10" t="str">
        <f>IF($H344="","",$H344-WEEKDAY($H344,2)+1)</f>
        <v/>
      </c>
      <c r="J344" s="10" t="str">
        <f>IF($H344="","",DATE(YEAR($H344),MONTH($H344),1))</f>
        <v/>
      </c>
      <c r="K344" s="2"/>
      <c r="L344" s="10"/>
    </row>
    <row r="345" spans="1:12" hidden="1" x14ac:dyDescent="0.2">
      <c r="A345" s="2"/>
      <c r="B345" s="2"/>
      <c r="C345" s="2"/>
      <c r="D345" s="2"/>
      <c r="E345" s="2"/>
      <c r="F345" s="2"/>
      <c r="G345" s="2"/>
      <c r="H345" s="10"/>
      <c r="I345" s="10" t="str">
        <f>IF($H345="","",$H345-WEEKDAY($H345,2)+1)</f>
        <v/>
      </c>
      <c r="J345" s="10" t="str">
        <f>IF($H345="","",DATE(YEAR($H345),MONTH($H345),1))</f>
        <v/>
      </c>
      <c r="K345" s="2"/>
      <c r="L345" s="10"/>
    </row>
    <row r="346" spans="1:12" hidden="1" x14ac:dyDescent="0.2">
      <c r="A346" s="2"/>
      <c r="B346" s="2"/>
      <c r="C346" s="2"/>
      <c r="D346" s="2"/>
      <c r="E346" s="2"/>
      <c r="F346" s="2"/>
      <c r="G346" s="2"/>
      <c r="H346" s="10"/>
      <c r="I346" s="10" t="str">
        <f>IF($H346="","",$H346-WEEKDAY($H346,2)+1)</f>
        <v/>
      </c>
      <c r="J346" s="10" t="str">
        <f>IF($H346="","",DATE(YEAR($H346),MONTH($H346),1))</f>
        <v/>
      </c>
      <c r="K346" s="2"/>
      <c r="L346" s="10"/>
    </row>
    <row r="347" spans="1:12" hidden="1" x14ac:dyDescent="0.2">
      <c r="A347" s="2"/>
      <c r="B347" s="2"/>
      <c r="C347" s="2"/>
      <c r="D347" s="2"/>
      <c r="E347" s="2"/>
      <c r="F347" s="2"/>
      <c r="G347" s="2"/>
      <c r="H347" s="10"/>
      <c r="I347" s="10" t="str">
        <f>IF($H347="","",$H347-WEEKDAY($H347,2)+1)</f>
        <v/>
      </c>
      <c r="J347" s="10" t="str">
        <f>IF($H347="","",DATE(YEAR($H347),MONTH($H347),1))</f>
        <v/>
      </c>
      <c r="K347" s="2"/>
      <c r="L347" s="10"/>
    </row>
    <row r="348" spans="1:12" hidden="1" x14ac:dyDescent="0.2">
      <c r="A348" s="2"/>
      <c r="B348" s="2"/>
      <c r="C348" s="2"/>
      <c r="D348" s="2"/>
      <c r="E348" s="2"/>
      <c r="F348" s="2"/>
      <c r="G348" s="2"/>
      <c r="H348" s="10"/>
      <c r="I348" s="10" t="str">
        <f>IF($H348="","",$H348-WEEKDAY($H348,2)+1)</f>
        <v/>
      </c>
      <c r="J348" s="10" t="str">
        <f>IF($H348="","",DATE(YEAR($H348),MONTH($H348),1))</f>
        <v/>
      </c>
      <c r="K348" s="2"/>
      <c r="L348" s="10"/>
    </row>
    <row r="349" spans="1:12" hidden="1" x14ac:dyDescent="0.2">
      <c r="A349" s="2"/>
      <c r="B349" s="2"/>
      <c r="C349" s="2"/>
      <c r="D349" s="2"/>
      <c r="E349" s="2"/>
      <c r="F349" s="2"/>
      <c r="G349" s="2"/>
      <c r="H349" s="10"/>
      <c r="I349" s="10" t="str">
        <f>IF($H349="","",$H349-WEEKDAY($H349,2)+1)</f>
        <v/>
      </c>
      <c r="J349" s="10" t="str">
        <f>IF($H349="","",DATE(YEAR($H349),MONTH($H349),1))</f>
        <v/>
      </c>
      <c r="K349" s="2"/>
      <c r="L349" s="10"/>
    </row>
    <row r="350" spans="1:12" hidden="1" x14ac:dyDescent="0.2">
      <c r="A350" s="2"/>
      <c r="B350" s="2"/>
      <c r="C350" s="2"/>
      <c r="D350" s="2"/>
      <c r="E350" s="2"/>
      <c r="F350" s="2"/>
      <c r="G350" s="2"/>
      <c r="H350" s="10"/>
      <c r="I350" s="10" t="str">
        <f>IF($H350="","",$H350-WEEKDAY($H350,2)+1)</f>
        <v/>
      </c>
      <c r="J350" s="10" t="str">
        <f>IF($H350="","",DATE(YEAR($H350),MONTH($H350),1))</f>
        <v/>
      </c>
      <c r="K350" s="2"/>
      <c r="L350" s="10"/>
    </row>
    <row r="351" spans="1:12" hidden="1" x14ac:dyDescent="0.2">
      <c r="A351" s="2"/>
      <c r="B351" s="2"/>
      <c r="C351" s="2"/>
      <c r="D351" s="2"/>
      <c r="E351" s="2"/>
      <c r="F351" s="2"/>
      <c r="G351" s="2"/>
      <c r="H351" s="10"/>
      <c r="I351" s="10" t="str">
        <f>IF($H351="","",$H351-WEEKDAY($H351,2)+1)</f>
        <v/>
      </c>
      <c r="J351" s="10" t="str">
        <f>IF($H351="","",DATE(YEAR($H351),MONTH($H351),1))</f>
        <v/>
      </c>
      <c r="K351" s="2"/>
      <c r="L351" s="10"/>
    </row>
    <row r="352" spans="1:12" hidden="1" x14ac:dyDescent="0.2">
      <c r="A352" s="2"/>
      <c r="B352" s="2"/>
      <c r="C352" s="2"/>
      <c r="D352" s="2"/>
      <c r="E352" s="2"/>
      <c r="F352" s="2"/>
      <c r="G352" s="2"/>
      <c r="H352" s="10"/>
      <c r="I352" s="10" t="str">
        <f>IF($H352="","",$H352-WEEKDAY($H352,2)+1)</f>
        <v/>
      </c>
      <c r="J352" s="10" t="str">
        <f>IF($H352="","",DATE(YEAR($H352),MONTH($H352),1))</f>
        <v/>
      </c>
      <c r="K352" s="2"/>
      <c r="L352" s="10"/>
    </row>
    <row r="353" spans="1:12" hidden="1" x14ac:dyDescent="0.2">
      <c r="A353" s="2"/>
      <c r="B353" s="2"/>
      <c r="C353" s="2"/>
      <c r="D353" s="2"/>
      <c r="E353" s="2"/>
      <c r="F353" s="2"/>
      <c r="G353" s="2"/>
      <c r="H353" s="10"/>
      <c r="I353" s="10" t="str">
        <f>IF($H353="","",$H353-WEEKDAY($H353,2)+1)</f>
        <v/>
      </c>
      <c r="J353" s="10" t="str">
        <f>IF($H353="","",DATE(YEAR($H353),MONTH($H353),1))</f>
        <v/>
      </c>
      <c r="K353" s="2"/>
      <c r="L353" s="10"/>
    </row>
    <row r="354" spans="1:12" hidden="1" x14ac:dyDescent="0.2">
      <c r="A354" s="2"/>
      <c r="B354" s="2"/>
      <c r="C354" s="2"/>
      <c r="D354" s="2"/>
      <c r="E354" s="2"/>
      <c r="F354" s="2"/>
      <c r="G354" s="2"/>
      <c r="H354" s="10"/>
      <c r="I354" s="10" t="str">
        <f>IF($H354="","",$H354-WEEKDAY($H354,2)+1)</f>
        <v/>
      </c>
      <c r="J354" s="10" t="str">
        <f>IF($H354="","",DATE(YEAR($H354),MONTH($H354),1))</f>
        <v/>
      </c>
      <c r="K354" s="2"/>
      <c r="L354" s="10"/>
    </row>
    <row r="355" spans="1:12" hidden="1" x14ac:dyDescent="0.2">
      <c r="A355" s="2"/>
      <c r="B355" s="2"/>
      <c r="C355" s="2"/>
      <c r="D355" s="2"/>
      <c r="E355" s="2"/>
      <c r="F355" s="2"/>
      <c r="G355" s="2"/>
      <c r="H355" s="10"/>
      <c r="I355" s="10" t="str">
        <f>IF($H355="","",$H355-WEEKDAY($H355,2)+1)</f>
        <v/>
      </c>
      <c r="J355" s="10" t="str">
        <f>IF($H355="","",DATE(YEAR($H355),MONTH($H355),1))</f>
        <v/>
      </c>
      <c r="K355" s="2"/>
      <c r="L355" s="10"/>
    </row>
    <row r="356" spans="1:12" hidden="1" x14ac:dyDescent="0.2">
      <c r="A356" s="2"/>
      <c r="B356" s="2"/>
      <c r="C356" s="2"/>
      <c r="D356" s="2"/>
      <c r="E356" s="2"/>
      <c r="F356" s="2"/>
      <c r="G356" s="2"/>
      <c r="H356" s="10"/>
      <c r="I356" s="10" t="str">
        <f>IF($H356="","",$H356-WEEKDAY($H356,2)+1)</f>
        <v/>
      </c>
      <c r="J356" s="10" t="str">
        <f>IF($H356="","",DATE(YEAR($H356),MONTH($H356),1))</f>
        <v/>
      </c>
      <c r="K356" s="2"/>
      <c r="L356" s="10"/>
    </row>
    <row r="357" spans="1:12" hidden="1" x14ac:dyDescent="0.2">
      <c r="A357" s="2"/>
      <c r="B357" s="2"/>
      <c r="C357" s="2"/>
      <c r="D357" s="2"/>
      <c r="E357" s="2"/>
      <c r="F357" s="2"/>
      <c r="G357" s="2"/>
      <c r="H357" s="10"/>
      <c r="I357" s="10" t="str">
        <f>IF($H357="","",$H357-WEEKDAY($H357,2)+1)</f>
        <v/>
      </c>
      <c r="J357" s="10" t="str">
        <f>IF($H357="","",DATE(YEAR($H357),MONTH($H357),1))</f>
        <v/>
      </c>
      <c r="K357" s="2"/>
      <c r="L357" s="10"/>
    </row>
    <row r="358" spans="1:12" hidden="1" x14ac:dyDescent="0.2">
      <c r="A358" s="2"/>
      <c r="B358" s="2"/>
      <c r="C358" s="2"/>
      <c r="D358" s="2"/>
      <c r="E358" s="2"/>
      <c r="F358" s="2"/>
      <c r="G358" s="2"/>
      <c r="H358" s="10"/>
      <c r="I358" s="10" t="str">
        <f>IF($H358="","",$H358-WEEKDAY($H358,2)+1)</f>
        <v/>
      </c>
      <c r="J358" s="10" t="str">
        <f>IF($H358="","",DATE(YEAR($H358),MONTH($H358),1))</f>
        <v/>
      </c>
      <c r="K358" s="2"/>
      <c r="L358" s="10"/>
    </row>
    <row r="359" spans="1:12" hidden="1" x14ac:dyDescent="0.2">
      <c r="A359" s="2"/>
      <c r="B359" s="2"/>
      <c r="C359" s="2"/>
      <c r="D359" s="2"/>
      <c r="E359" s="2"/>
      <c r="F359" s="2"/>
      <c r="G359" s="2"/>
      <c r="H359" s="10"/>
      <c r="I359" s="10" t="str">
        <f>IF($H359="","",$H359-WEEKDAY($H359,2)+1)</f>
        <v/>
      </c>
      <c r="J359" s="10" t="str">
        <f>IF($H359="","",DATE(YEAR($H359),MONTH($H359),1))</f>
        <v/>
      </c>
      <c r="K359" s="2"/>
      <c r="L359" s="10"/>
    </row>
    <row r="360" spans="1:12" hidden="1" x14ac:dyDescent="0.2">
      <c r="A360" s="2"/>
      <c r="B360" s="2"/>
      <c r="C360" s="2"/>
      <c r="D360" s="2"/>
      <c r="E360" s="2"/>
      <c r="F360" s="2"/>
      <c r="G360" s="2"/>
      <c r="H360" s="10"/>
      <c r="I360" s="10" t="str">
        <f>IF($H360="","",$H360-WEEKDAY($H360,2)+1)</f>
        <v/>
      </c>
      <c r="J360" s="10" t="str">
        <f>IF($H360="","",DATE(YEAR($H360),MONTH($H360),1))</f>
        <v/>
      </c>
      <c r="K360" s="2"/>
      <c r="L360" s="10"/>
    </row>
    <row r="361" spans="1:12" hidden="1" x14ac:dyDescent="0.2">
      <c r="A361" s="2"/>
      <c r="B361" s="2"/>
      <c r="C361" s="2"/>
      <c r="D361" s="2"/>
      <c r="E361" s="2"/>
      <c r="F361" s="2"/>
      <c r="G361" s="2"/>
      <c r="H361" s="10"/>
      <c r="I361" s="10" t="str">
        <f>IF($H361="","",$H361-WEEKDAY($H361,2)+1)</f>
        <v/>
      </c>
      <c r="J361" s="10" t="str">
        <f>IF($H361="","",DATE(YEAR($H361),MONTH($H361),1))</f>
        <v/>
      </c>
      <c r="K361" s="2"/>
      <c r="L361" s="10"/>
    </row>
    <row r="362" spans="1:12" hidden="1" x14ac:dyDescent="0.2">
      <c r="A362" s="2"/>
      <c r="B362" s="2"/>
      <c r="C362" s="2"/>
      <c r="D362" s="2"/>
      <c r="E362" s="2"/>
      <c r="F362" s="2"/>
      <c r="G362" s="2"/>
      <c r="H362" s="10"/>
      <c r="I362" s="10" t="str">
        <f>IF($H362="","",$H362-WEEKDAY($H362,2)+1)</f>
        <v/>
      </c>
      <c r="J362" s="10" t="str">
        <f>IF($H362="","",DATE(YEAR($H362),MONTH($H362),1))</f>
        <v/>
      </c>
      <c r="K362" s="2"/>
      <c r="L362" s="10"/>
    </row>
    <row r="363" spans="1:12" hidden="1" x14ac:dyDescent="0.2">
      <c r="A363" s="2"/>
      <c r="B363" s="2"/>
      <c r="C363" s="2"/>
      <c r="D363" s="2"/>
      <c r="E363" s="2"/>
      <c r="F363" s="2"/>
      <c r="G363" s="2"/>
      <c r="H363" s="10"/>
      <c r="I363" s="10" t="str">
        <f>IF($H363="","",$H363-WEEKDAY($H363,2)+1)</f>
        <v/>
      </c>
      <c r="J363" s="10" t="str">
        <f>IF($H363="","",DATE(YEAR($H363),MONTH($H363),1))</f>
        <v/>
      </c>
      <c r="K363" s="2"/>
      <c r="L363" s="10"/>
    </row>
    <row r="364" spans="1:12" hidden="1" x14ac:dyDescent="0.2">
      <c r="A364" s="2"/>
      <c r="B364" s="2"/>
      <c r="C364" s="2"/>
      <c r="D364" s="2"/>
      <c r="E364" s="2"/>
      <c r="F364" s="2"/>
      <c r="G364" s="2"/>
      <c r="H364" s="10"/>
      <c r="I364" s="10" t="str">
        <f>IF($H364="","",$H364-WEEKDAY($H364,2)+1)</f>
        <v/>
      </c>
      <c r="J364" s="10" t="str">
        <f>IF($H364="","",DATE(YEAR($H364),MONTH($H364),1))</f>
        <v/>
      </c>
      <c r="K364" s="2"/>
      <c r="L364" s="10"/>
    </row>
    <row r="365" spans="1:12" hidden="1" x14ac:dyDescent="0.2">
      <c r="A365" s="2"/>
      <c r="B365" s="2"/>
      <c r="C365" s="2"/>
      <c r="D365" s="2"/>
      <c r="E365" s="2"/>
      <c r="F365" s="2"/>
      <c r="G365" s="2"/>
      <c r="H365" s="10"/>
      <c r="I365" s="10" t="str">
        <f>IF($H365="","",$H365-WEEKDAY($H365,2)+1)</f>
        <v/>
      </c>
      <c r="J365" s="10" t="str">
        <f>IF($H365="","",DATE(YEAR($H365),MONTH($H365),1))</f>
        <v/>
      </c>
      <c r="K365" s="2"/>
      <c r="L365" s="10"/>
    </row>
    <row r="366" spans="1:12" hidden="1" x14ac:dyDescent="0.2">
      <c r="A366" s="2"/>
      <c r="B366" s="2"/>
      <c r="C366" s="2"/>
      <c r="D366" s="2"/>
      <c r="E366" s="2"/>
      <c r="F366" s="2"/>
      <c r="G366" s="2"/>
      <c r="H366" s="10"/>
      <c r="I366" s="10" t="str">
        <f>IF($H366="","",$H366-WEEKDAY($H366,2)+1)</f>
        <v/>
      </c>
      <c r="J366" s="10" t="str">
        <f>IF($H366="","",DATE(YEAR($H366),MONTH($H366),1))</f>
        <v/>
      </c>
      <c r="K366" s="2"/>
      <c r="L366" s="10"/>
    </row>
    <row r="367" spans="1:12" hidden="1" x14ac:dyDescent="0.2">
      <c r="A367" s="2"/>
      <c r="B367" s="2"/>
      <c r="C367" s="2"/>
      <c r="D367" s="2"/>
      <c r="E367" s="2"/>
      <c r="F367" s="2"/>
      <c r="G367" s="2"/>
      <c r="H367" s="10"/>
      <c r="I367" s="10" t="str">
        <f>IF($H367="","",$H367-WEEKDAY($H367,2)+1)</f>
        <v/>
      </c>
      <c r="J367" s="10" t="str">
        <f>IF($H367="","",DATE(YEAR($H367),MONTH($H367),1))</f>
        <v/>
      </c>
      <c r="K367" s="2"/>
      <c r="L367" s="10"/>
    </row>
    <row r="368" spans="1:12" hidden="1" x14ac:dyDescent="0.2">
      <c r="A368" s="2"/>
      <c r="B368" s="2"/>
      <c r="C368" s="2"/>
      <c r="D368" s="2"/>
      <c r="E368" s="2"/>
      <c r="F368" s="2"/>
      <c r="G368" s="2"/>
      <c r="H368" s="10"/>
      <c r="I368" s="10" t="str">
        <f>IF($H368="","",$H368-WEEKDAY($H368,2)+1)</f>
        <v/>
      </c>
      <c r="J368" s="10" t="str">
        <f>IF($H368="","",DATE(YEAR($H368),MONTH($H368),1))</f>
        <v/>
      </c>
      <c r="K368" s="2"/>
      <c r="L368" s="10"/>
    </row>
    <row r="369" spans="1:12" hidden="1" x14ac:dyDescent="0.2">
      <c r="A369" s="2"/>
      <c r="B369" s="2"/>
      <c r="C369" s="2"/>
      <c r="D369" s="2"/>
      <c r="E369" s="2"/>
      <c r="F369" s="2"/>
      <c r="G369" s="2"/>
      <c r="H369" s="10"/>
      <c r="I369" s="10" t="str">
        <f>IF($H369="","",$H369-WEEKDAY($H369,2)+1)</f>
        <v/>
      </c>
      <c r="J369" s="10" t="str">
        <f>IF($H369="","",DATE(YEAR($H369),MONTH($H369),1))</f>
        <v/>
      </c>
      <c r="K369" s="2"/>
      <c r="L369" s="10"/>
    </row>
    <row r="370" spans="1:12" hidden="1" x14ac:dyDescent="0.2">
      <c r="A370" s="2"/>
      <c r="B370" s="2"/>
      <c r="C370" s="2"/>
      <c r="D370" s="2"/>
      <c r="E370" s="2"/>
      <c r="F370" s="2"/>
      <c r="G370" s="2"/>
      <c r="H370" s="10"/>
      <c r="I370" s="10" t="str">
        <f>IF($H370="","",$H370-WEEKDAY($H370,2)+1)</f>
        <v/>
      </c>
      <c r="J370" s="10" t="str">
        <f>IF($H370="","",DATE(YEAR($H370),MONTH($H370),1))</f>
        <v/>
      </c>
      <c r="K370" s="2"/>
      <c r="L370" s="10"/>
    </row>
    <row r="371" spans="1:12" hidden="1" x14ac:dyDescent="0.2">
      <c r="A371" s="2"/>
      <c r="B371" s="2"/>
      <c r="C371" s="2"/>
      <c r="D371" s="2"/>
      <c r="E371" s="2"/>
      <c r="F371" s="2"/>
      <c r="G371" s="2"/>
      <c r="H371" s="10"/>
      <c r="I371" s="10" t="str">
        <f>IF($H371="","",$H371-WEEKDAY($H371,2)+1)</f>
        <v/>
      </c>
      <c r="J371" s="10" t="str">
        <f>IF($H371="","",DATE(YEAR($H371),MONTH($H371),1))</f>
        <v/>
      </c>
      <c r="K371" s="2"/>
      <c r="L371" s="10"/>
    </row>
    <row r="372" spans="1:12" hidden="1" x14ac:dyDescent="0.2">
      <c r="A372" s="2"/>
      <c r="B372" s="2"/>
      <c r="C372" s="2"/>
      <c r="D372" s="2"/>
      <c r="E372" s="2"/>
      <c r="F372" s="2"/>
      <c r="G372" s="2"/>
      <c r="H372" s="10"/>
      <c r="I372" s="10" t="str">
        <f>IF($H372="","",$H372-WEEKDAY($H372,2)+1)</f>
        <v/>
      </c>
      <c r="J372" s="10" t="str">
        <f>IF($H372="","",DATE(YEAR($H372),MONTH($H372),1))</f>
        <v/>
      </c>
      <c r="K372" s="2"/>
      <c r="L372" s="10"/>
    </row>
    <row r="373" spans="1:12" hidden="1" x14ac:dyDescent="0.2">
      <c r="A373" s="2"/>
      <c r="B373" s="2"/>
      <c r="C373" s="2"/>
      <c r="D373" s="2"/>
      <c r="E373" s="2"/>
      <c r="F373" s="2"/>
      <c r="G373" s="2"/>
      <c r="H373" s="10"/>
      <c r="I373" s="10" t="str">
        <f>IF($H373="","",$H373-WEEKDAY($H373,2)+1)</f>
        <v/>
      </c>
      <c r="J373" s="10" t="str">
        <f>IF($H373="","",DATE(YEAR($H373),MONTH($H373),1))</f>
        <v/>
      </c>
      <c r="K373" s="2"/>
      <c r="L373" s="10"/>
    </row>
    <row r="374" spans="1:12" hidden="1" x14ac:dyDescent="0.2">
      <c r="A374" s="2"/>
      <c r="B374" s="2"/>
      <c r="C374" s="2"/>
      <c r="D374" s="2"/>
      <c r="E374" s="2"/>
      <c r="F374" s="2"/>
      <c r="G374" s="2"/>
      <c r="H374" s="10"/>
      <c r="I374" s="10" t="str">
        <f>IF($H374="","",$H374-WEEKDAY($H374,2)+1)</f>
        <v/>
      </c>
      <c r="J374" s="10" t="str">
        <f>IF($H374="","",DATE(YEAR($H374),MONTH($H374),1))</f>
        <v/>
      </c>
      <c r="K374" s="2"/>
      <c r="L374" s="10"/>
    </row>
    <row r="375" spans="1:12" hidden="1" x14ac:dyDescent="0.2">
      <c r="A375" s="2"/>
      <c r="B375" s="2"/>
      <c r="C375" s="2"/>
      <c r="D375" s="2"/>
      <c r="E375" s="2"/>
      <c r="F375" s="2"/>
      <c r="G375" s="2"/>
      <c r="H375" s="10"/>
      <c r="I375" s="10" t="str">
        <f>IF($H375="","",$H375-WEEKDAY($H375,2)+1)</f>
        <v/>
      </c>
      <c r="J375" s="10" t="str">
        <f>IF($H375="","",DATE(YEAR($H375),MONTH($H375),1))</f>
        <v/>
      </c>
      <c r="K375" s="2"/>
      <c r="L375" s="10"/>
    </row>
    <row r="376" spans="1:12" hidden="1" x14ac:dyDescent="0.2">
      <c r="A376" s="2"/>
      <c r="B376" s="2"/>
      <c r="C376" s="2"/>
      <c r="D376" s="2"/>
      <c r="E376" s="2"/>
      <c r="F376" s="2"/>
      <c r="G376" s="2"/>
      <c r="H376" s="10"/>
      <c r="I376" s="10" t="str">
        <f>IF($H376="","",$H376-WEEKDAY($H376,2)+1)</f>
        <v/>
      </c>
      <c r="J376" s="10" t="str">
        <f>IF($H376="","",DATE(YEAR($H376),MONTH($H376),1))</f>
        <v/>
      </c>
      <c r="K376" s="2"/>
      <c r="L376" s="10"/>
    </row>
    <row r="377" spans="1:12" hidden="1" x14ac:dyDescent="0.2">
      <c r="A377" s="2"/>
      <c r="B377" s="2"/>
      <c r="C377" s="2"/>
      <c r="D377" s="2"/>
      <c r="E377" s="2"/>
      <c r="F377" s="2"/>
      <c r="G377" s="2"/>
      <c r="H377" s="10"/>
      <c r="I377" s="10" t="str">
        <f>IF($H377="","",$H377-WEEKDAY($H377,2)+1)</f>
        <v/>
      </c>
      <c r="J377" s="10" t="str">
        <f>IF($H377="","",DATE(YEAR($H377),MONTH($H377),1))</f>
        <v/>
      </c>
      <c r="K377" s="2"/>
      <c r="L377" s="10"/>
    </row>
    <row r="378" spans="1:12" hidden="1" x14ac:dyDescent="0.2">
      <c r="A378" s="2"/>
      <c r="B378" s="2"/>
      <c r="C378" s="2"/>
      <c r="D378" s="2"/>
      <c r="E378" s="2"/>
      <c r="F378" s="2"/>
      <c r="G378" s="2"/>
      <c r="H378" s="10"/>
      <c r="I378" s="10" t="str">
        <f>IF($H378="","",$H378-WEEKDAY($H378,2)+1)</f>
        <v/>
      </c>
      <c r="J378" s="10" t="str">
        <f>IF($H378="","",DATE(YEAR($H378),MONTH($H378),1))</f>
        <v/>
      </c>
      <c r="K378" s="2"/>
      <c r="L378" s="10"/>
    </row>
    <row r="379" spans="1:12" hidden="1" x14ac:dyDescent="0.2">
      <c r="A379" s="2"/>
      <c r="B379" s="2"/>
      <c r="C379" s="2"/>
      <c r="D379" s="2"/>
      <c r="E379" s="2"/>
      <c r="F379" s="2"/>
      <c r="G379" s="2"/>
      <c r="H379" s="10"/>
      <c r="I379" s="10" t="str">
        <f>IF($H379="","",$H379-WEEKDAY($H379,2)+1)</f>
        <v/>
      </c>
      <c r="J379" s="10" t="str">
        <f>IF($H379="","",DATE(YEAR($H379),MONTH($H379),1))</f>
        <v/>
      </c>
      <c r="K379" s="2"/>
      <c r="L379" s="10"/>
    </row>
    <row r="380" spans="1:12" hidden="1" x14ac:dyDescent="0.2">
      <c r="A380" s="2"/>
      <c r="B380" s="2"/>
      <c r="C380" s="2"/>
      <c r="D380" s="2"/>
      <c r="E380" s="2"/>
      <c r="F380" s="2"/>
      <c r="G380" s="2"/>
      <c r="H380" s="10"/>
      <c r="I380" s="10" t="str">
        <f>IF($H380="","",$H380-WEEKDAY($H380,2)+1)</f>
        <v/>
      </c>
      <c r="J380" s="10" t="str">
        <f>IF($H380="","",DATE(YEAR($H380),MONTH($H380),1))</f>
        <v/>
      </c>
      <c r="K380" s="2"/>
      <c r="L380" s="10"/>
    </row>
    <row r="381" spans="1:12" hidden="1" x14ac:dyDescent="0.2">
      <c r="A381" s="2"/>
      <c r="B381" s="2"/>
      <c r="C381" s="2"/>
      <c r="D381" s="2"/>
      <c r="E381" s="2"/>
      <c r="F381" s="2"/>
      <c r="G381" s="2"/>
      <c r="H381" s="10"/>
      <c r="I381" s="10" t="str">
        <f>IF($H381="","",$H381-WEEKDAY($H381,2)+1)</f>
        <v/>
      </c>
      <c r="J381" s="10" t="str">
        <f>IF($H381="","",DATE(YEAR($H381),MONTH($H381),1))</f>
        <v/>
      </c>
      <c r="K381" s="2"/>
      <c r="L381" s="10"/>
    </row>
    <row r="382" spans="1:12" hidden="1" x14ac:dyDescent="0.2">
      <c r="A382" s="2"/>
      <c r="B382" s="2"/>
      <c r="C382" s="2"/>
      <c r="D382" s="2"/>
      <c r="E382" s="2"/>
      <c r="F382" s="2"/>
      <c r="G382" s="2"/>
      <c r="H382" s="10"/>
      <c r="I382" s="10" t="str">
        <f>IF($H382="","",$H382-WEEKDAY($H382,2)+1)</f>
        <v/>
      </c>
      <c r="J382" s="10" t="str">
        <f>IF($H382="","",DATE(YEAR($H382),MONTH($H382),1))</f>
        <v/>
      </c>
      <c r="K382" s="2"/>
      <c r="L382" s="10"/>
    </row>
    <row r="383" spans="1:12" hidden="1" x14ac:dyDescent="0.2">
      <c r="A383" s="2"/>
      <c r="B383" s="2"/>
      <c r="C383" s="2"/>
      <c r="D383" s="2"/>
      <c r="E383" s="2"/>
      <c r="F383" s="2"/>
      <c r="G383" s="2"/>
      <c r="H383" s="10"/>
      <c r="I383" s="10" t="str">
        <f>IF($H383="","",$H383-WEEKDAY($H383,2)+1)</f>
        <v/>
      </c>
      <c r="J383" s="10" t="str">
        <f>IF($H383="","",DATE(YEAR($H383),MONTH($H383),1))</f>
        <v/>
      </c>
      <c r="K383" s="2"/>
      <c r="L383" s="10"/>
    </row>
    <row r="384" spans="1:12" hidden="1" x14ac:dyDescent="0.2">
      <c r="A384" s="2"/>
      <c r="B384" s="2"/>
      <c r="C384" s="2"/>
      <c r="D384" s="2"/>
      <c r="E384" s="2"/>
      <c r="F384" s="2"/>
      <c r="G384" s="2"/>
      <c r="H384" s="10"/>
      <c r="I384" s="10" t="str">
        <f>IF($H384="","",$H384-WEEKDAY($H384,2)+1)</f>
        <v/>
      </c>
      <c r="J384" s="10" t="str">
        <f>IF($H384="","",DATE(YEAR($H384),MONTH($H384),1))</f>
        <v/>
      </c>
      <c r="K384" s="2"/>
      <c r="L384" s="10"/>
    </row>
    <row r="385" spans="1:12" hidden="1" x14ac:dyDescent="0.2">
      <c r="A385" s="2"/>
      <c r="B385" s="2"/>
      <c r="C385" s="2"/>
      <c r="D385" s="2"/>
      <c r="E385" s="2"/>
      <c r="F385" s="2"/>
      <c r="G385" s="2"/>
      <c r="H385" s="10"/>
      <c r="I385" s="10" t="str">
        <f>IF($H385="","",$H385-WEEKDAY($H385,2)+1)</f>
        <v/>
      </c>
      <c r="J385" s="10" t="str">
        <f>IF($H385="","",DATE(YEAR($H385),MONTH($H385),1))</f>
        <v/>
      </c>
      <c r="K385" s="2"/>
      <c r="L385" s="10"/>
    </row>
    <row r="386" spans="1:12" hidden="1" x14ac:dyDescent="0.2">
      <c r="A386" s="2"/>
      <c r="B386" s="2"/>
      <c r="C386" s="2"/>
      <c r="D386" s="2"/>
      <c r="E386" s="2"/>
      <c r="F386" s="2"/>
      <c r="G386" s="2"/>
      <c r="H386" s="10"/>
      <c r="I386" s="10" t="str">
        <f>IF($H386="","",$H386-WEEKDAY($H386,2)+1)</f>
        <v/>
      </c>
      <c r="J386" s="10" t="str">
        <f>IF($H386="","",DATE(YEAR($H386),MONTH($H386),1))</f>
        <v/>
      </c>
      <c r="K386" s="2"/>
      <c r="L386" s="10"/>
    </row>
    <row r="387" spans="1:12" hidden="1" x14ac:dyDescent="0.2">
      <c r="A387" s="2"/>
      <c r="B387" s="2"/>
      <c r="C387" s="2"/>
      <c r="D387" s="2"/>
      <c r="E387" s="2"/>
      <c r="F387" s="2"/>
      <c r="G387" s="2"/>
      <c r="H387" s="10"/>
      <c r="I387" s="10" t="str">
        <f>IF($H387="","",$H387-WEEKDAY($H387,2)+1)</f>
        <v/>
      </c>
      <c r="J387" s="10" t="str">
        <f>IF($H387="","",DATE(YEAR($H387),MONTH($H387),1))</f>
        <v/>
      </c>
      <c r="K387" s="2"/>
      <c r="L387" s="10"/>
    </row>
    <row r="388" spans="1:12" hidden="1" x14ac:dyDescent="0.2">
      <c r="A388" s="2"/>
      <c r="B388" s="2"/>
      <c r="C388" s="2"/>
      <c r="D388" s="2"/>
      <c r="E388" s="2"/>
      <c r="F388" s="2"/>
      <c r="G388" s="2"/>
      <c r="H388" s="10"/>
      <c r="I388" s="10" t="str">
        <f>IF($H388="","",$H388-WEEKDAY($H388,2)+1)</f>
        <v/>
      </c>
      <c r="J388" s="10" t="str">
        <f>IF($H388="","",DATE(YEAR($H388),MONTH($H388),1))</f>
        <v/>
      </c>
      <c r="K388" s="2"/>
      <c r="L388" s="10"/>
    </row>
    <row r="389" spans="1:12" hidden="1" x14ac:dyDescent="0.2">
      <c r="A389" s="2"/>
      <c r="B389" s="2"/>
      <c r="C389" s="2"/>
      <c r="D389" s="2"/>
      <c r="E389" s="2"/>
      <c r="F389" s="2"/>
      <c r="G389" s="2"/>
      <c r="H389" s="10"/>
      <c r="I389" s="10" t="str">
        <f>IF($H389="","",$H389-WEEKDAY($H389,2)+1)</f>
        <v/>
      </c>
      <c r="J389" s="10" t="str">
        <f>IF($H389="","",DATE(YEAR($H389),MONTH($H389),1))</f>
        <v/>
      </c>
      <c r="K389" s="2"/>
      <c r="L389" s="10"/>
    </row>
    <row r="390" spans="1:12" hidden="1" x14ac:dyDescent="0.2">
      <c r="A390" s="2"/>
      <c r="B390" s="2"/>
      <c r="C390" s="2"/>
      <c r="D390" s="2"/>
      <c r="E390" s="2"/>
      <c r="F390" s="2"/>
      <c r="G390" s="2"/>
      <c r="H390" s="10"/>
      <c r="I390" s="10" t="str">
        <f>IF($H390="","",$H390-WEEKDAY($H390,2)+1)</f>
        <v/>
      </c>
      <c r="J390" s="10" t="str">
        <f>IF($H390="","",DATE(YEAR($H390),MONTH($H390),1))</f>
        <v/>
      </c>
      <c r="K390" s="2"/>
      <c r="L390" s="10"/>
    </row>
    <row r="391" spans="1:12" hidden="1" x14ac:dyDescent="0.2">
      <c r="A391" s="2"/>
      <c r="B391" s="2"/>
      <c r="C391" s="2"/>
      <c r="D391" s="2"/>
      <c r="E391" s="2"/>
      <c r="F391" s="2"/>
      <c r="G391" s="2"/>
      <c r="H391" s="10"/>
      <c r="I391" s="10" t="str">
        <f>IF($H391="","",$H391-WEEKDAY($H391,2)+1)</f>
        <v/>
      </c>
      <c r="J391" s="10" t="str">
        <f>IF($H391="","",DATE(YEAR($H391),MONTH($H391),1))</f>
        <v/>
      </c>
      <c r="K391" s="2"/>
      <c r="L391" s="10"/>
    </row>
    <row r="392" spans="1:12" hidden="1" x14ac:dyDescent="0.2">
      <c r="A392" s="2"/>
      <c r="B392" s="2"/>
      <c r="C392" s="2"/>
      <c r="D392" s="2"/>
      <c r="E392" s="2"/>
      <c r="F392" s="2"/>
      <c r="G392" s="2"/>
      <c r="H392" s="10"/>
      <c r="I392" s="10" t="str">
        <f>IF($H392="","",$H392-WEEKDAY($H392,2)+1)</f>
        <v/>
      </c>
      <c r="J392" s="10" t="str">
        <f>IF($H392="","",DATE(YEAR($H392),MONTH($H392),1))</f>
        <v/>
      </c>
      <c r="K392" s="2"/>
      <c r="L392" s="10"/>
    </row>
    <row r="393" spans="1:12" hidden="1" x14ac:dyDescent="0.2">
      <c r="A393" s="2"/>
      <c r="B393" s="2"/>
      <c r="C393" s="2"/>
      <c r="D393" s="2"/>
      <c r="E393" s="2"/>
      <c r="F393" s="2"/>
      <c r="G393" s="2"/>
      <c r="H393" s="10"/>
      <c r="I393" s="10" t="str">
        <f>IF($H393="","",$H393-WEEKDAY($H393,2)+1)</f>
        <v/>
      </c>
      <c r="J393" s="10" t="str">
        <f>IF($H393="","",DATE(YEAR($H393),MONTH($H393),1))</f>
        <v/>
      </c>
      <c r="K393" s="2"/>
      <c r="L393" s="10"/>
    </row>
    <row r="394" spans="1:12" hidden="1" x14ac:dyDescent="0.2">
      <c r="A394" s="2"/>
      <c r="B394" s="2"/>
      <c r="C394" s="2"/>
      <c r="D394" s="2"/>
      <c r="E394" s="2"/>
      <c r="F394" s="2"/>
      <c r="G394" s="2"/>
      <c r="H394" s="10"/>
      <c r="I394" s="10" t="str">
        <f>IF($H394="","",$H394-WEEKDAY($H394,2)+1)</f>
        <v/>
      </c>
      <c r="J394" s="10" t="str">
        <f>IF($H394="","",DATE(YEAR($H394),MONTH($H394),1))</f>
        <v/>
      </c>
      <c r="K394" s="2"/>
      <c r="L394" s="10"/>
    </row>
    <row r="395" spans="1:12" hidden="1" x14ac:dyDescent="0.2">
      <c r="A395" s="2"/>
      <c r="B395" s="2"/>
      <c r="C395" s="2"/>
      <c r="D395" s="2"/>
      <c r="E395" s="2"/>
      <c r="F395" s="2"/>
      <c r="G395" s="2"/>
      <c r="H395" s="10"/>
      <c r="I395" s="10" t="str">
        <f>IF($H395="","",$H395-WEEKDAY($H395,2)+1)</f>
        <v/>
      </c>
      <c r="J395" s="10" t="str">
        <f>IF($H395="","",DATE(YEAR($H395),MONTH($H395),1))</f>
        <v/>
      </c>
      <c r="K395" s="2"/>
      <c r="L395" s="10"/>
    </row>
    <row r="396" spans="1:12" hidden="1" x14ac:dyDescent="0.2">
      <c r="A396" s="2"/>
      <c r="B396" s="2"/>
      <c r="C396" s="2"/>
      <c r="D396" s="2"/>
      <c r="E396" s="2"/>
      <c r="F396" s="2"/>
      <c r="G396" s="2"/>
      <c r="H396" s="10"/>
      <c r="I396" s="10" t="str">
        <f>IF($H396="","",$H396-WEEKDAY($H396,2)+1)</f>
        <v/>
      </c>
      <c r="J396" s="10" t="str">
        <f>IF($H396="","",DATE(YEAR($H396),MONTH($H396),1))</f>
        <v/>
      </c>
      <c r="K396" s="2"/>
      <c r="L396" s="10"/>
    </row>
    <row r="397" spans="1:12" hidden="1" x14ac:dyDescent="0.2">
      <c r="A397" s="2"/>
      <c r="B397" s="2"/>
      <c r="C397" s="2"/>
      <c r="D397" s="2"/>
      <c r="E397" s="2"/>
      <c r="F397" s="2"/>
      <c r="G397" s="2"/>
      <c r="H397" s="10"/>
      <c r="I397" s="10" t="str">
        <f>IF($H397="","",$H397-WEEKDAY($H397,2)+1)</f>
        <v/>
      </c>
      <c r="J397" s="10" t="str">
        <f>IF($H397="","",DATE(YEAR($H397),MONTH($H397),1))</f>
        <v/>
      </c>
      <c r="K397" s="2"/>
      <c r="L397" s="10"/>
    </row>
    <row r="398" spans="1:12" hidden="1" x14ac:dyDescent="0.2">
      <c r="A398" s="2"/>
      <c r="B398" s="2"/>
      <c r="C398" s="2"/>
      <c r="D398" s="2"/>
      <c r="E398" s="2"/>
      <c r="F398" s="2"/>
      <c r="G398" s="2"/>
      <c r="H398" s="10"/>
      <c r="I398" s="10" t="str">
        <f>IF($H398="","",$H398-WEEKDAY($H398,2)+1)</f>
        <v/>
      </c>
      <c r="J398" s="10" t="str">
        <f>IF($H398="","",DATE(YEAR($H398),MONTH($H398),1))</f>
        <v/>
      </c>
      <c r="K398" s="2"/>
      <c r="L398" s="10"/>
    </row>
    <row r="399" spans="1:12" hidden="1" x14ac:dyDescent="0.2">
      <c r="A399" s="2"/>
      <c r="B399" s="2"/>
      <c r="C399" s="2"/>
      <c r="D399" s="2"/>
      <c r="E399" s="2"/>
      <c r="F399" s="2"/>
      <c r="G399" s="2"/>
      <c r="H399" s="10"/>
      <c r="I399" s="10" t="str">
        <f>IF($H399="","",$H399-WEEKDAY($H399,2)+1)</f>
        <v/>
      </c>
      <c r="J399" s="10" t="str">
        <f>IF($H399="","",DATE(YEAR($H399),MONTH($H399),1))</f>
        <v/>
      </c>
      <c r="K399" s="2"/>
      <c r="L399" s="10"/>
    </row>
    <row r="400" spans="1:12" hidden="1" x14ac:dyDescent="0.2">
      <c r="A400" s="2"/>
      <c r="B400" s="2"/>
      <c r="C400" s="2"/>
      <c r="D400" s="2"/>
      <c r="E400" s="2"/>
      <c r="F400" s="2"/>
      <c r="G400" s="2"/>
      <c r="H400" s="10"/>
      <c r="I400" s="10" t="str">
        <f>IF($H400="","",$H400-WEEKDAY($H400,2)+1)</f>
        <v/>
      </c>
      <c r="J400" s="10" t="str">
        <f>IF($H400="","",DATE(YEAR($H400),MONTH($H400),1))</f>
        <v/>
      </c>
      <c r="K400" s="2"/>
      <c r="L400" s="10"/>
    </row>
    <row r="401" spans="1:12" hidden="1" x14ac:dyDescent="0.2">
      <c r="A401" s="2"/>
      <c r="B401" s="2"/>
      <c r="C401" s="2"/>
      <c r="D401" s="2"/>
      <c r="E401" s="2"/>
      <c r="F401" s="2"/>
      <c r="G401" s="2"/>
      <c r="H401" s="10"/>
      <c r="I401" s="10" t="str">
        <f>IF($H401="","",$H401-WEEKDAY($H401,2)+1)</f>
        <v/>
      </c>
      <c r="J401" s="10" t="str">
        <f>IF($H401="","",DATE(YEAR($H401),MONTH($H401),1))</f>
        <v/>
      </c>
      <c r="K401" s="2"/>
      <c r="L401" s="10"/>
    </row>
    <row r="402" spans="1:12" hidden="1" x14ac:dyDescent="0.2">
      <c r="A402" s="2"/>
      <c r="B402" s="2"/>
      <c r="C402" s="2"/>
      <c r="D402" s="2"/>
      <c r="E402" s="2"/>
      <c r="F402" s="2"/>
      <c r="G402" s="2"/>
      <c r="H402" s="10"/>
      <c r="I402" s="10" t="str">
        <f>IF($H402="","",$H402-WEEKDAY($H402,2)+1)</f>
        <v/>
      </c>
      <c r="J402" s="10" t="str">
        <f>IF($H402="","",DATE(YEAR($H402),MONTH($H402),1))</f>
        <v/>
      </c>
      <c r="K402" s="2"/>
      <c r="L402" s="10"/>
    </row>
    <row r="403" spans="1:12" hidden="1" x14ac:dyDescent="0.2">
      <c r="A403" s="2"/>
      <c r="B403" s="2"/>
      <c r="C403" s="2"/>
      <c r="D403" s="2"/>
      <c r="E403" s="2"/>
      <c r="F403" s="2"/>
      <c r="G403" s="2"/>
      <c r="H403" s="10"/>
      <c r="I403" s="10" t="str">
        <f>IF($H403="","",$H403-WEEKDAY($H403,2)+1)</f>
        <v/>
      </c>
      <c r="J403" s="10" t="str">
        <f>IF($H403="","",DATE(YEAR($H403),MONTH($H403),1))</f>
        <v/>
      </c>
      <c r="K403" s="2"/>
      <c r="L403" s="10"/>
    </row>
    <row r="404" spans="1:12" hidden="1" x14ac:dyDescent="0.2">
      <c r="A404" s="2"/>
      <c r="B404" s="2"/>
      <c r="C404" s="2"/>
      <c r="D404" s="2"/>
      <c r="E404" s="2"/>
      <c r="F404" s="2"/>
      <c r="G404" s="2"/>
      <c r="H404" s="10"/>
      <c r="I404" s="10" t="str">
        <f>IF($H404="","",$H404-WEEKDAY($H404,2)+1)</f>
        <v/>
      </c>
      <c r="J404" s="10" t="str">
        <f>IF($H404="","",DATE(YEAR($H404),MONTH($H404),1))</f>
        <v/>
      </c>
      <c r="K404" s="2"/>
      <c r="L404" s="10"/>
    </row>
    <row r="405" spans="1:12" hidden="1" x14ac:dyDescent="0.2">
      <c r="A405" s="2"/>
      <c r="B405" s="2"/>
      <c r="C405" s="2"/>
      <c r="D405" s="2"/>
      <c r="E405" s="2"/>
      <c r="F405" s="2"/>
      <c r="G405" s="2"/>
      <c r="H405" s="10"/>
      <c r="I405" s="10" t="str">
        <f>IF($H405="","",$H405-WEEKDAY($H405,2)+1)</f>
        <v/>
      </c>
      <c r="J405" s="10" t="str">
        <f>IF($H405="","",DATE(YEAR($H405),MONTH($H405),1))</f>
        <v/>
      </c>
      <c r="K405" s="2"/>
      <c r="L405" s="10"/>
    </row>
    <row r="406" spans="1:12" hidden="1" x14ac:dyDescent="0.2">
      <c r="A406" s="2"/>
      <c r="B406" s="2"/>
      <c r="C406" s="2"/>
      <c r="D406" s="2"/>
      <c r="E406" s="2"/>
      <c r="F406" s="2"/>
      <c r="G406" s="2"/>
      <c r="H406" s="10"/>
      <c r="I406" s="10" t="str">
        <f>IF($H406="","",$H406-WEEKDAY($H406,2)+1)</f>
        <v/>
      </c>
      <c r="J406" s="10" t="str">
        <f>IF($H406="","",DATE(YEAR($H406),MONTH($H406),1))</f>
        <v/>
      </c>
      <c r="K406" s="2"/>
      <c r="L406" s="10"/>
    </row>
    <row r="407" spans="1:12" hidden="1" x14ac:dyDescent="0.2">
      <c r="A407" s="2"/>
      <c r="B407" s="2"/>
      <c r="C407" s="2"/>
      <c r="D407" s="2"/>
      <c r="E407" s="2"/>
      <c r="F407" s="2"/>
      <c r="G407" s="2"/>
      <c r="H407" s="10"/>
      <c r="I407" s="10" t="str">
        <f>IF($H407="","",$H407-WEEKDAY($H407,2)+1)</f>
        <v/>
      </c>
      <c r="J407" s="10" t="str">
        <f>IF($H407="","",DATE(YEAR($H407),MONTH($H407),1))</f>
        <v/>
      </c>
      <c r="K407" s="2"/>
      <c r="L407" s="10"/>
    </row>
    <row r="408" spans="1:12" hidden="1" x14ac:dyDescent="0.2">
      <c r="A408" s="2"/>
      <c r="B408" s="2"/>
      <c r="C408" s="2"/>
      <c r="D408" s="2"/>
      <c r="E408" s="2"/>
      <c r="F408" s="2"/>
      <c r="G408" s="2"/>
      <c r="H408" s="10"/>
      <c r="I408" s="10" t="str">
        <f>IF($H408="","",$H408-WEEKDAY($H408,2)+1)</f>
        <v/>
      </c>
      <c r="J408" s="10" t="str">
        <f>IF($H408="","",DATE(YEAR($H408),MONTH($H408),1))</f>
        <v/>
      </c>
      <c r="K408" s="2"/>
      <c r="L408" s="10"/>
    </row>
    <row r="409" spans="1:12" hidden="1" x14ac:dyDescent="0.2">
      <c r="A409" s="2"/>
      <c r="B409" s="2"/>
      <c r="C409" s="2"/>
      <c r="D409" s="2"/>
      <c r="E409" s="2"/>
      <c r="F409" s="2"/>
      <c r="G409" s="2"/>
      <c r="H409" s="10"/>
      <c r="I409" s="10" t="str">
        <f>IF($H409="","",$H409-WEEKDAY($H409,2)+1)</f>
        <v/>
      </c>
      <c r="J409" s="10" t="str">
        <f>IF($H409="","",DATE(YEAR($H409),MONTH($H409),1))</f>
        <v/>
      </c>
      <c r="K409" s="2"/>
      <c r="L409" s="10"/>
    </row>
    <row r="410" spans="1:12" hidden="1" x14ac:dyDescent="0.2">
      <c r="A410" s="2"/>
      <c r="B410" s="2"/>
      <c r="C410" s="2"/>
      <c r="D410" s="2"/>
      <c r="E410" s="2"/>
      <c r="F410" s="2"/>
      <c r="G410" s="2"/>
      <c r="H410" s="10"/>
      <c r="I410" s="10" t="str">
        <f>IF($H410="","",$H410-WEEKDAY($H410,2)+1)</f>
        <v/>
      </c>
      <c r="J410" s="10" t="str">
        <f>IF($H410="","",DATE(YEAR($H410),MONTH($H410),1))</f>
        <v/>
      </c>
      <c r="K410" s="2"/>
      <c r="L410" s="10"/>
    </row>
    <row r="411" spans="1:12" hidden="1" x14ac:dyDescent="0.2">
      <c r="A411" s="2"/>
      <c r="B411" s="2"/>
      <c r="C411" s="2"/>
      <c r="D411" s="2"/>
      <c r="E411" s="2"/>
      <c r="F411" s="2"/>
      <c r="G411" s="2"/>
      <c r="H411" s="10"/>
      <c r="I411" s="10" t="str">
        <f>IF($H411="","",$H411-WEEKDAY($H411,2)+1)</f>
        <v/>
      </c>
      <c r="J411" s="10" t="str">
        <f>IF($H411="","",DATE(YEAR($H411),MONTH($H411),1))</f>
        <v/>
      </c>
      <c r="K411" s="2"/>
      <c r="L411" s="10"/>
    </row>
    <row r="412" spans="1:12" hidden="1" x14ac:dyDescent="0.2">
      <c r="A412" s="2"/>
      <c r="B412" s="2"/>
      <c r="C412" s="2"/>
      <c r="D412" s="2"/>
      <c r="E412" s="2"/>
      <c r="F412" s="2"/>
      <c r="G412" s="2"/>
      <c r="H412" s="10"/>
      <c r="I412" s="10" t="str">
        <f>IF($H412="","",$H412-WEEKDAY($H412,2)+1)</f>
        <v/>
      </c>
      <c r="J412" s="10" t="str">
        <f>IF($H412="","",DATE(YEAR($H412),MONTH($H412),1))</f>
        <v/>
      </c>
      <c r="K412" s="2"/>
      <c r="L412" s="10"/>
    </row>
    <row r="413" spans="1:12" hidden="1" x14ac:dyDescent="0.2">
      <c r="A413" s="2"/>
      <c r="B413" s="2"/>
      <c r="C413" s="2"/>
      <c r="D413" s="2"/>
      <c r="E413" s="2"/>
      <c r="F413" s="2"/>
      <c r="G413" s="2"/>
      <c r="H413" s="10"/>
      <c r="I413" s="10" t="str">
        <f>IF($H413="","",$H413-WEEKDAY($H413,2)+1)</f>
        <v/>
      </c>
      <c r="J413" s="10" t="str">
        <f>IF($H413="","",DATE(YEAR($H413),MONTH($H413),1))</f>
        <v/>
      </c>
      <c r="K413" s="2"/>
      <c r="L413" s="10"/>
    </row>
    <row r="414" spans="1:12" hidden="1" x14ac:dyDescent="0.2">
      <c r="A414" s="2"/>
      <c r="B414" s="2"/>
      <c r="C414" s="2"/>
      <c r="D414" s="2"/>
      <c r="E414" s="2"/>
      <c r="F414" s="2"/>
      <c r="G414" s="2"/>
      <c r="H414" s="10"/>
      <c r="I414" s="10" t="str">
        <f>IF($H414="","",$H414-WEEKDAY($H414,2)+1)</f>
        <v/>
      </c>
      <c r="J414" s="10" t="str">
        <f>IF($H414="","",DATE(YEAR($H414),MONTH($H414),1))</f>
        <v/>
      </c>
      <c r="K414" s="2"/>
      <c r="L414" s="10"/>
    </row>
    <row r="415" spans="1:12" hidden="1" x14ac:dyDescent="0.2">
      <c r="A415" s="2"/>
      <c r="B415" s="2"/>
      <c r="C415" s="2"/>
      <c r="D415" s="2"/>
      <c r="E415" s="2"/>
      <c r="F415" s="2"/>
      <c r="G415" s="2"/>
      <c r="H415" s="10"/>
      <c r="I415" s="10" t="str">
        <f>IF($H415="","",$H415-WEEKDAY($H415,2)+1)</f>
        <v/>
      </c>
      <c r="J415" s="10" t="str">
        <f>IF($H415="","",DATE(YEAR($H415),MONTH($H415),1))</f>
        <v/>
      </c>
      <c r="K415" s="2"/>
      <c r="L415" s="10"/>
    </row>
    <row r="416" spans="1:12" hidden="1" x14ac:dyDescent="0.2">
      <c r="A416" s="2"/>
      <c r="B416" s="2"/>
      <c r="C416" s="2"/>
      <c r="D416" s="2"/>
      <c r="E416" s="2"/>
      <c r="F416" s="2"/>
      <c r="G416" s="2"/>
      <c r="H416" s="10"/>
      <c r="I416" s="10" t="str">
        <f>IF($H416="","",$H416-WEEKDAY($H416,2)+1)</f>
        <v/>
      </c>
      <c r="J416" s="10" t="str">
        <f>IF($H416="","",DATE(YEAR($H416),MONTH($H416),1))</f>
        <v/>
      </c>
      <c r="K416" s="2"/>
      <c r="L416" s="10"/>
    </row>
    <row r="417" spans="1:12" hidden="1" x14ac:dyDescent="0.2">
      <c r="A417" s="2"/>
      <c r="B417" s="2"/>
      <c r="C417" s="2"/>
      <c r="D417" s="2"/>
      <c r="E417" s="2"/>
      <c r="F417" s="2"/>
      <c r="G417" s="2"/>
      <c r="H417" s="10"/>
      <c r="I417" s="10" t="str">
        <f>IF($H417="","",$H417-WEEKDAY($H417,2)+1)</f>
        <v/>
      </c>
      <c r="J417" s="10" t="str">
        <f>IF($H417="","",DATE(YEAR($H417),MONTH($H417),1))</f>
        <v/>
      </c>
      <c r="K417" s="2"/>
      <c r="L417" s="10"/>
    </row>
    <row r="418" spans="1:12" hidden="1" x14ac:dyDescent="0.2">
      <c r="A418" s="2"/>
      <c r="B418" s="2"/>
      <c r="C418" s="2"/>
      <c r="D418" s="2"/>
      <c r="E418" s="2"/>
      <c r="F418" s="2"/>
      <c r="G418" s="2"/>
      <c r="H418" s="10"/>
      <c r="I418" s="10" t="str">
        <f>IF($H418="","",$H418-WEEKDAY($H418,2)+1)</f>
        <v/>
      </c>
      <c r="J418" s="10" t="str">
        <f>IF($H418="","",DATE(YEAR($H418),MONTH($H418),1))</f>
        <v/>
      </c>
      <c r="K418" s="2"/>
      <c r="L418" s="10"/>
    </row>
    <row r="419" spans="1:12" hidden="1" x14ac:dyDescent="0.2">
      <c r="A419" s="2"/>
      <c r="B419" s="2"/>
      <c r="C419" s="2"/>
      <c r="D419" s="2"/>
      <c r="E419" s="2"/>
      <c r="F419" s="2"/>
      <c r="G419" s="2"/>
      <c r="H419" s="10"/>
      <c r="I419" s="10" t="str">
        <f>IF($H419="","",$H419-WEEKDAY($H419,2)+1)</f>
        <v/>
      </c>
      <c r="J419" s="10" t="str">
        <f>IF($H419="","",DATE(YEAR($H419),MONTH($H419),1))</f>
        <v/>
      </c>
      <c r="K419" s="2"/>
      <c r="L419" s="10"/>
    </row>
    <row r="420" spans="1:12" hidden="1" x14ac:dyDescent="0.2">
      <c r="A420" s="2"/>
      <c r="B420" s="2"/>
      <c r="C420" s="2"/>
      <c r="D420" s="2"/>
      <c r="E420" s="2"/>
      <c r="F420" s="2"/>
      <c r="G420" s="2"/>
      <c r="H420" s="10"/>
      <c r="I420" s="10" t="str">
        <f>IF($H420="","",$H420-WEEKDAY($H420,2)+1)</f>
        <v/>
      </c>
      <c r="J420" s="10" t="str">
        <f>IF($H420="","",DATE(YEAR($H420),MONTH($H420),1))</f>
        <v/>
      </c>
      <c r="K420" s="2"/>
      <c r="L420" s="10"/>
    </row>
    <row r="421" spans="1:12" hidden="1" x14ac:dyDescent="0.2">
      <c r="A421" s="2"/>
      <c r="B421" s="2"/>
      <c r="C421" s="2"/>
      <c r="D421" s="2"/>
      <c r="E421" s="2"/>
      <c r="F421" s="2"/>
      <c r="G421" s="2"/>
      <c r="H421" s="10"/>
      <c r="I421" s="10" t="str">
        <f>IF($H421="","",$H421-WEEKDAY($H421,2)+1)</f>
        <v/>
      </c>
      <c r="J421" s="10" t="str">
        <f>IF($H421="","",DATE(YEAR($H421),MONTH($H421),1))</f>
        <v/>
      </c>
      <c r="K421" s="2"/>
      <c r="L421" s="10"/>
    </row>
    <row r="422" spans="1:12" hidden="1" x14ac:dyDescent="0.2">
      <c r="A422" s="2"/>
      <c r="B422" s="2"/>
      <c r="C422" s="2"/>
      <c r="D422" s="2"/>
      <c r="E422" s="2"/>
      <c r="F422" s="2"/>
      <c r="G422" s="2"/>
      <c r="H422" s="10"/>
      <c r="I422" s="10" t="str">
        <f>IF($H422="","",$H422-WEEKDAY($H422,2)+1)</f>
        <v/>
      </c>
      <c r="J422" s="10" t="str">
        <f>IF($H422="","",DATE(YEAR($H422),MONTH($H422),1))</f>
        <v/>
      </c>
      <c r="K422" s="2"/>
      <c r="L422" s="10"/>
    </row>
    <row r="423" spans="1:12" hidden="1" x14ac:dyDescent="0.2">
      <c r="A423" s="2"/>
      <c r="B423" s="2"/>
      <c r="C423" s="2"/>
      <c r="D423" s="2"/>
      <c r="E423" s="2"/>
      <c r="F423" s="2"/>
      <c r="G423" s="2"/>
      <c r="H423" s="10"/>
      <c r="I423" s="10" t="str">
        <f>IF($H423="","",$H423-WEEKDAY($H423,2)+1)</f>
        <v/>
      </c>
      <c r="J423" s="10" t="str">
        <f>IF($H423="","",DATE(YEAR($H423),MONTH($H423),1))</f>
        <v/>
      </c>
      <c r="K423" s="2"/>
      <c r="L423" s="10"/>
    </row>
    <row r="424" spans="1:12" hidden="1" x14ac:dyDescent="0.2">
      <c r="A424" s="2"/>
      <c r="B424" s="2"/>
      <c r="C424" s="2"/>
      <c r="D424" s="2"/>
      <c r="E424" s="2"/>
      <c r="F424" s="2"/>
      <c r="G424" s="2"/>
      <c r="H424" s="10"/>
      <c r="I424" s="10" t="str">
        <f>IF($H424="","",$H424-WEEKDAY($H424,2)+1)</f>
        <v/>
      </c>
      <c r="J424" s="10" t="str">
        <f>IF($H424="","",DATE(YEAR($H424),MONTH($H424),1))</f>
        <v/>
      </c>
      <c r="K424" s="2"/>
      <c r="L424" s="10"/>
    </row>
    <row r="425" spans="1:12" hidden="1" x14ac:dyDescent="0.2">
      <c r="A425" s="2"/>
      <c r="B425" s="2"/>
      <c r="C425" s="2"/>
      <c r="D425" s="2"/>
      <c r="E425" s="2"/>
      <c r="F425" s="2"/>
      <c r="G425" s="2"/>
      <c r="H425" s="10"/>
      <c r="I425" s="10" t="str">
        <f>IF($H425="","",$H425-WEEKDAY($H425,2)+1)</f>
        <v/>
      </c>
      <c r="J425" s="10" t="str">
        <f>IF($H425="","",DATE(YEAR($H425),MONTH($H425),1))</f>
        <v/>
      </c>
      <c r="K425" s="2"/>
      <c r="L425" s="10"/>
    </row>
    <row r="426" spans="1:12" hidden="1" x14ac:dyDescent="0.2">
      <c r="A426" s="2"/>
      <c r="B426" s="2"/>
      <c r="C426" s="2"/>
      <c r="D426" s="2"/>
      <c r="E426" s="2"/>
      <c r="F426" s="2"/>
      <c r="G426" s="2"/>
      <c r="H426" s="10"/>
      <c r="I426" s="10" t="str">
        <f>IF($H426="","",$H426-WEEKDAY($H426,2)+1)</f>
        <v/>
      </c>
      <c r="J426" s="10" t="str">
        <f>IF($H426="","",DATE(YEAR($H426),MONTH($H426),1))</f>
        <v/>
      </c>
      <c r="K426" s="2"/>
      <c r="L426" s="10"/>
    </row>
    <row r="427" spans="1:12" hidden="1" x14ac:dyDescent="0.2">
      <c r="A427" s="2"/>
      <c r="B427" s="2"/>
      <c r="C427" s="2"/>
      <c r="D427" s="2"/>
      <c r="E427" s="2"/>
      <c r="F427" s="2"/>
      <c r="G427" s="2"/>
      <c r="H427" s="10"/>
      <c r="I427" s="10" t="str">
        <f>IF($H427="","",$H427-WEEKDAY($H427,2)+1)</f>
        <v/>
      </c>
      <c r="J427" s="10" t="str">
        <f>IF($H427="","",DATE(YEAR($H427),MONTH($H427),1))</f>
        <v/>
      </c>
      <c r="K427" s="2"/>
      <c r="L427" s="10"/>
    </row>
    <row r="428" spans="1:12" hidden="1" x14ac:dyDescent="0.2">
      <c r="A428" s="2"/>
      <c r="B428" s="2"/>
      <c r="C428" s="2"/>
      <c r="D428" s="2"/>
      <c r="E428" s="2"/>
      <c r="F428" s="2"/>
      <c r="G428" s="2"/>
      <c r="H428" s="10"/>
      <c r="I428" s="10" t="str">
        <f>IF($H428="","",$H428-WEEKDAY($H428,2)+1)</f>
        <v/>
      </c>
      <c r="J428" s="10" t="str">
        <f>IF($H428="","",DATE(YEAR($H428),MONTH($H428),1))</f>
        <v/>
      </c>
      <c r="K428" s="2"/>
      <c r="L428" s="10"/>
    </row>
    <row r="429" spans="1:12" hidden="1" x14ac:dyDescent="0.2">
      <c r="A429" s="2"/>
      <c r="B429" s="2"/>
      <c r="C429" s="2"/>
      <c r="D429" s="2"/>
      <c r="E429" s="2"/>
      <c r="F429" s="2"/>
      <c r="G429" s="2"/>
      <c r="H429" s="10"/>
      <c r="I429" s="10" t="str">
        <f>IF($H429="","",$H429-WEEKDAY($H429,2)+1)</f>
        <v/>
      </c>
      <c r="J429" s="10" t="str">
        <f>IF($H429="","",DATE(YEAR($H429),MONTH($H429),1))</f>
        <v/>
      </c>
      <c r="K429" s="2"/>
      <c r="L429" s="10"/>
    </row>
    <row r="430" spans="1:12" hidden="1" x14ac:dyDescent="0.2">
      <c r="A430" s="2"/>
      <c r="B430" s="2"/>
      <c r="C430" s="2"/>
      <c r="D430" s="2"/>
      <c r="E430" s="2"/>
      <c r="F430" s="2"/>
      <c r="G430" s="2"/>
      <c r="H430" s="10"/>
      <c r="I430" s="10" t="str">
        <f>IF($H430="","",$H430-WEEKDAY($H430,2)+1)</f>
        <v/>
      </c>
      <c r="J430" s="10" t="str">
        <f>IF($H430="","",DATE(YEAR($H430),MONTH($H430),1))</f>
        <v/>
      </c>
      <c r="K430" s="2"/>
      <c r="L430" s="10"/>
    </row>
    <row r="431" spans="1:12" hidden="1" x14ac:dyDescent="0.2">
      <c r="A431" s="2"/>
      <c r="B431" s="2"/>
      <c r="C431" s="2"/>
      <c r="D431" s="2"/>
      <c r="E431" s="2"/>
      <c r="F431" s="2"/>
      <c r="G431" s="2"/>
      <c r="H431" s="10"/>
      <c r="I431" s="10" t="str">
        <f>IF($H431="","",$H431-WEEKDAY($H431,2)+1)</f>
        <v/>
      </c>
      <c r="J431" s="10" t="str">
        <f>IF($H431="","",DATE(YEAR($H431),MONTH($H431),1))</f>
        <v/>
      </c>
      <c r="K431" s="2"/>
      <c r="L431" s="10"/>
    </row>
    <row r="432" spans="1:12" hidden="1" x14ac:dyDescent="0.2">
      <c r="A432" s="2"/>
      <c r="B432" s="2"/>
      <c r="C432" s="2"/>
      <c r="D432" s="2"/>
      <c r="E432" s="2"/>
      <c r="F432" s="2"/>
      <c r="G432" s="2"/>
      <c r="H432" s="10"/>
      <c r="I432" s="10" t="str">
        <f>IF($H432="","",$H432-WEEKDAY($H432,2)+1)</f>
        <v/>
      </c>
      <c r="J432" s="10" t="str">
        <f>IF($H432="","",DATE(YEAR($H432),MONTH($H432),1))</f>
        <v/>
      </c>
      <c r="K432" s="2"/>
      <c r="L432" s="10"/>
    </row>
    <row r="433" spans="1:12" hidden="1" x14ac:dyDescent="0.2">
      <c r="A433" s="2"/>
      <c r="B433" s="2"/>
      <c r="C433" s="2"/>
      <c r="D433" s="2"/>
      <c r="E433" s="2"/>
      <c r="F433" s="2"/>
      <c r="G433" s="2"/>
      <c r="H433" s="10"/>
      <c r="I433" s="10" t="str">
        <f>IF($H433="","",$H433-WEEKDAY($H433,2)+1)</f>
        <v/>
      </c>
      <c r="J433" s="10" t="str">
        <f>IF($H433="","",DATE(YEAR($H433),MONTH($H433),1))</f>
        <v/>
      </c>
      <c r="K433" s="2"/>
      <c r="L433" s="10"/>
    </row>
    <row r="434" spans="1:12" hidden="1" x14ac:dyDescent="0.2">
      <c r="A434" s="2"/>
      <c r="B434" s="2"/>
      <c r="C434" s="2"/>
      <c r="D434" s="2"/>
      <c r="E434" s="2"/>
      <c r="F434" s="2"/>
      <c r="G434" s="2"/>
      <c r="H434" s="10"/>
      <c r="I434" s="10" t="str">
        <f>IF($H434="","",$H434-WEEKDAY($H434,2)+1)</f>
        <v/>
      </c>
      <c r="J434" s="10" t="str">
        <f>IF($H434="","",DATE(YEAR($H434),MONTH($H434),1))</f>
        <v/>
      </c>
      <c r="K434" s="2"/>
      <c r="L434" s="10"/>
    </row>
    <row r="435" spans="1:12" hidden="1" x14ac:dyDescent="0.2">
      <c r="A435" s="2"/>
      <c r="B435" s="2"/>
      <c r="C435" s="2"/>
      <c r="D435" s="2"/>
      <c r="E435" s="2"/>
      <c r="F435" s="2"/>
      <c r="G435" s="2"/>
      <c r="H435" s="10"/>
      <c r="I435" s="10" t="str">
        <f>IF($H435="","",$H435-WEEKDAY($H435,2)+1)</f>
        <v/>
      </c>
      <c r="J435" s="10" t="str">
        <f>IF($H435="","",DATE(YEAR($H435),MONTH($H435),1))</f>
        <v/>
      </c>
      <c r="K435" s="2"/>
      <c r="L435" s="10"/>
    </row>
    <row r="436" spans="1:12" hidden="1" x14ac:dyDescent="0.2">
      <c r="A436" s="2"/>
      <c r="B436" s="2"/>
      <c r="C436" s="2"/>
      <c r="D436" s="2"/>
      <c r="E436" s="2"/>
      <c r="F436" s="2"/>
      <c r="G436" s="2"/>
      <c r="H436" s="10"/>
      <c r="I436" s="10" t="str">
        <f>IF($H436="","",$H436-WEEKDAY($H436,2)+1)</f>
        <v/>
      </c>
      <c r="J436" s="10" t="str">
        <f>IF($H436="","",DATE(YEAR($H436),MONTH($H436),1))</f>
        <v/>
      </c>
      <c r="K436" s="2"/>
      <c r="L436" s="10"/>
    </row>
    <row r="437" spans="1:12" hidden="1" x14ac:dyDescent="0.2">
      <c r="A437" s="2"/>
      <c r="B437" s="2"/>
      <c r="C437" s="2"/>
      <c r="D437" s="2"/>
      <c r="E437" s="2"/>
      <c r="F437" s="2"/>
      <c r="G437" s="2"/>
      <c r="H437" s="10"/>
      <c r="I437" s="10" t="str">
        <f>IF($H437="","",$H437-WEEKDAY($H437,2)+1)</f>
        <v/>
      </c>
      <c r="J437" s="10" t="str">
        <f>IF($H437="","",DATE(YEAR($H437),MONTH($H437),1))</f>
        <v/>
      </c>
      <c r="K437" s="2"/>
      <c r="L437" s="10"/>
    </row>
    <row r="438" spans="1:12" hidden="1" x14ac:dyDescent="0.2">
      <c r="A438" s="2"/>
      <c r="B438" s="2"/>
      <c r="C438" s="2"/>
      <c r="D438" s="2"/>
      <c r="E438" s="2"/>
      <c r="F438" s="2"/>
      <c r="G438" s="2"/>
      <c r="H438" s="10"/>
      <c r="I438" s="10" t="str">
        <f>IF($H438="","",$H438-WEEKDAY($H438,2)+1)</f>
        <v/>
      </c>
      <c r="J438" s="10" t="str">
        <f>IF($H438="","",DATE(YEAR($H438),MONTH($H438),1))</f>
        <v/>
      </c>
      <c r="K438" s="2"/>
      <c r="L438" s="10"/>
    </row>
    <row r="439" spans="1:12" hidden="1" x14ac:dyDescent="0.2">
      <c r="A439" s="2"/>
      <c r="B439" s="2"/>
      <c r="C439" s="2"/>
      <c r="D439" s="2"/>
      <c r="E439" s="2"/>
      <c r="F439" s="2"/>
      <c r="G439" s="2"/>
      <c r="H439" s="10"/>
      <c r="I439" s="10" t="str">
        <f>IF($H439="","",$H439-WEEKDAY($H439,2)+1)</f>
        <v/>
      </c>
      <c r="J439" s="10" t="str">
        <f>IF($H439="","",DATE(YEAR($H439),MONTH($H439),1))</f>
        <v/>
      </c>
      <c r="K439" s="2"/>
      <c r="L439" s="10"/>
    </row>
    <row r="440" spans="1:12" hidden="1" x14ac:dyDescent="0.2">
      <c r="A440" s="2"/>
      <c r="B440" s="2"/>
      <c r="C440" s="2"/>
      <c r="D440" s="2"/>
      <c r="E440" s="2"/>
      <c r="F440" s="2"/>
      <c r="G440" s="2"/>
      <c r="H440" s="10"/>
      <c r="I440" s="10" t="str">
        <f>IF($H440="","",$H440-WEEKDAY($H440,2)+1)</f>
        <v/>
      </c>
      <c r="J440" s="10" t="str">
        <f>IF($H440="","",DATE(YEAR($H440),MONTH($H440),1))</f>
        <v/>
      </c>
      <c r="K440" s="2"/>
      <c r="L440" s="10"/>
    </row>
    <row r="441" spans="1:12" hidden="1" x14ac:dyDescent="0.2">
      <c r="A441" s="2"/>
      <c r="B441" s="2"/>
      <c r="C441" s="2"/>
      <c r="D441" s="2"/>
      <c r="E441" s="2"/>
      <c r="F441" s="2"/>
      <c r="G441" s="2"/>
      <c r="H441" s="10"/>
      <c r="I441" s="10" t="str">
        <f>IF($H441="","",$H441-WEEKDAY($H441,2)+1)</f>
        <v/>
      </c>
      <c r="J441" s="10" t="str">
        <f>IF($H441="","",DATE(YEAR($H441),MONTH($H441),1))</f>
        <v/>
      </c>
      <c r="K441" s="2"/>
      <c r="L441" s="10"/>
    </row>
    <row r="442" spans="1:12" hidden="1" x14ac:dyDescent="0.2">
      <c r="A442" s="2"/>
      <c r="B442" s="2"/>
      <c r="C442" s="2"/>
      <c r="D442" s="2"/>
      <c r="E442" s="2"/>
      <c r="F442" s="2"/>
      <c r="G442" s="2"/>
      <c r="H442" s="10"/>
      <c r="I442" s="10" t="str">
        <f>IF($H442="","",$H442-WEEKDAY($H442,2)+1)</f>
        <v/>
      </c>
      <c r="J442" s="10" t="str">
        <f>IF($H442="","",DATE(YEAR($H442),MONTH($H442),1))</f>
        <v/>
      </c>
      <c r="K442" s="2"/>
      <c r="L442" s="10"/>
    </row>
    <row r="443" spans="1:12" hidden="1" x14ac:dyDescent="0.2">
      <c r="A443" s="2"/>
      <c r="B443" s="2"/>
      <c r="C443" s="2"/>
      <c r="D443" s="2"/>
      <c r="E443" s="2"/>
      <c r="F443" s="2"/>
      <c r="G443" s="2"/>
      <c r="H443" s="10"/>
      <c r="I443" s="10" t="str">
        <f>IF($H443="","",$H443-WEEKDAY($H443,2)+1)</f>
        <v/>
      </c>
      <c r="J443" s="10" t="str">
        <f>IF($H443="","",DATE(YEAR($H443),MONTH($H443),1))</f>
        <v/>
      </c>
      <c r="K443" s="2"/>
      <c r="L443" s="10"/>
    </row>
    <row r="444" spans="1:12" hidden="1" x14ac:dyDescent="0.2">
      <c r="A444" s="2"/>
      <c r="B444" s="2"/>
      <c r="C444" s="2"/>
      <c r="D444" s="2"/>
      <c r="E444" s="2"/>
      <c r="F444" s="2"/>
      <c r="G444" s="2"/>
      <c r="H444" s="10"/>
      <c r="I444" s="10" t="str">
        <f>IF($H444="","",$H444-WEEKDAY($H444,2)+1)</f>
        <v/>
      </c>
      <c r="J444" s="10" t="str">
        <f>IF($H444="","",DATE(YEAR($H444),MONTH($H444),1))</f>
        <v/>
      </c>
      <c r="K444" s="2"/>
      <c r="L444" s="10"/>
    </row>
    <row r="445" spans="1:12" hidden="1" x14ac:dyDescent="0.2">
      <c r="A445" s="2"/>
      <c r="B445" s="2"/>
      <c r="C445" s="2"/>
      <c r="D445" s="2"/>
      <c r="E445" s="2"/>
      <c r="F445" s="2"/>
      <c r="G445" s="2"/>
      <c r="H445" s="10"/>
      <c r="I445" s="10" t="str">
        <f>IF($H445="","",$H445-WEEKDAY($H445,2)+1)</f>
        <v/>
      </c>
      <c r="J445" s="10" t="str">
        <f>IF($H445="","",DATE(YEAR($H445),MONTH($H445),1))</f>
        <v/>
      </c>
      <c r="K445" s="2"/>
      <c r="L445" s="10"/>
    </row>
    <row r="446" spans="1:12" hidden="1" x14ac:dyDescent="0.2">
      <c r="A446" s="2"/>
      <c r="B446" s="2"/>
      <c r="C446" s="2"/>
      <c r="D446" s="2"/>
      <c r="E446" s="2"/>
      <c r="F446" s="2"/>
      <c r="G446" s="2"/>
      <c r="H446" s="10"/>
      <c r="I446" s="10" t="str">
        <f>IF($H446="","",$H446-WEEKDAY($H446,2)+1)</f>
        <v/>
      </c>
      <c r="J446" s="10" t="str">
        <f>IF($H446="","",DATE(YEAR($H446),MONTH($H446),1))</f>
        <v/>
      </c>
      <c r="K446" s="2"/>
      <c r="L446" s="10"/>
    </row>
    <row r="447" spans="1:12" hidden="1" x14ac:dyDescent="0.2">
      <c r="A447" s="2"/>
      <c r="B447" s="2"/>
      <c r="C447" s="2"/>
      <c r="D447" s="2"/>
      <c r="E447" s="2"/>
      <c r="F447" s="2"/>
      <c r="G447" s="2"/>
      <c r="H447" s="10"/>
      <c r="I447" s="10" t="str">
        <f>IF($H447="","",$H447-WEEKDAY($H447,2)+1)</f>
        <v/>
      </c>
      <c r="J447" s="10" t="str">
        <f>IF($H447="","",DATE(YEAR($H447),MONTH($H447),1))</f>
        <v/>
      </c>
      <c r="K447" s="2"/>
      <c r="L447" s="10"/>
    </row>
    <row r="448" spans="1:12" hidden="1" x14ac:dyDescent="0.2">
      <c r="A448" s="2"/>
      <c r="B448" s="2"/>
      <c r="C448" s="2"/>
      <c r="D448" s="2"/>
      <c r="E448" s="2"/>
      <c r="F448" s="2"/>
      <c r="G448" s="2"/>
      <c r="H448" s="10"/>
      <c r="I448" s="10" t="str">
        <f>IF($H448="","",$H448-WEEKDAY($H448,2)+1)</f>
        <v/>
      </c>
      <c r="J448" s="10" t="str">
        <f>IF($H448="","",DATE(YEAR($H448),MONTH($H448),1))</f>
        <v/>
      </c>
      <c r="K448" s="2"/>
      <c r="L448" s="10"/>
    </row>
    <row r="449" spans="1:12" hidden="1" x14ac:dyDescent="0.2">
      <c r="A449" s="2"/>
      <c r="B449" s="2"/>
      <c r="C449" s="2"/>
      <c r="D449" s="2"/>
      <c r="E449" s="2"/>
      <c r="F449" s="2"/>
      <c r="G449" s="2"/>
      <c r="H449" s="10"/>
      <c r="I449" s="10" t="str">
        <f>IF($H449="","",$H449-WEEKDAY($H449,2)+1)</f>
        <v/>
      </c>
      <c r="J449" s="10" t="str">
        <f>IF($H449="","",DATE(YEAR($H449),MONTH($H449),1))</f>
        <v/>
      </c>
      <c r="K449" s="2"/>
      <c r="L449" s="10"/>
    </row>
    <row r="450" spans="1:12" hidden="1" x14ac:dyDescent="0.2">
      <c r="A450" s="2"/>
      <c r="B450" s="2"/>
      <c r="C450" s="2"/>
      <c r="D450" s="2"/>
      <c r="E450" s="2"/>
      <c r="F450" s="2"/>
      <c r="G450" s="2"/>
      <c r="H450" s="10"/>
      <c r="I450" s="10" t="str">
        <f>IF($H450="","",$H450-WEEKDAY($H450,2)+1)</f>
        <v/>
      </c>
      <c r="J450" s="10" t="str">
        <f>IF($H450="","",DATE(YEAR($H450),MONTH($H450),1))</f>
        <v/>
      </c>
      <c r="K450" s="2"/>
      <c r="L450" s="10"/>
    </row>
    <row r="451" spans="1:12" hidden="1" x14ac:dyDescent="0.2">
      <c r="A451" s="2"/>
      <c r="B451" s="2"/>
      <c r="C451" s="2"/>
      <c r="D451" s="2"/>
      <c r="E451" s="2"/>
      <c r="F451" s="2"/>
      <c r="G451" s="2"/>
      <c r="H451" s="10"/>
      <c r="I451" s="10" t="str">
        <f>IF($H451="","",$H451-WEEKDAY($H451,2)+1)</f>
        <v/>
      </c>
      <c r="J451" s="10" t="str">
        <f>IF($H451="","",DATE(YEAR($H451),MONTH($H451),1))</f>
        <v/>
      </c>
      <c r="K451" s="2"/>
      <c r="L451" s="10"/>
    </row>
    <row r="452" spans="1:12" hidden="1" x14ac:dyDescent="0.2">
      <c r="A452" s="2"/>
      <c r="B452" s="2"/>
      <c r="C452" s="2"/>
      <c r="D452" s="2"/>
      <c r="E452" s="2"/>
      <c r="F452" s="2"/>
      <c r="G452" s="2"/>
      <c r="H452" s="10"/>
      <c r="I452" s="10" t="str">
        <f>IF($H452="","",$H452-WEEKDAY($H452,2)+1)</f>
        <v/>
      </c>
      <c r="J452" s="10" t="str">
        <f>IF($H452="","",DATE(YEAR($H452),MONTH($H452),1))</f>
        <v/>
      </c>
      <c r="K452" s="2"/>
      <c r="L452" s="10"/>
    </row>
    <row r="453" spans="1:12" hidden="1" x14ac:dyDescent="0.2">
      <c r="A453" s="2"/>
      <c r="B453" s="2"/>
      <c r="C453" s="2"/>
      <c r="D453" s="2"/>
      <c r="E453" s="2"/>
      <c r="F453" s="2"/>
      <c r="G453" s="2"/>
      <c r="H453" s="10"/>
      <c r="I453" s="10" t="str">
        <f>IF($H453="","",$H453-WEEKDAY($H453,2)+1)</f>
        <v/>
      </c>
      <c r="J453" s="10" t="str">
        <f>IF($H453="","",DATE(YEAR($H453),MONTH($H453),1))</f>
        <v/>
      </c>
      <c r="K453" s="2"/>
      <c r="L453" s="10"/>
    </row>
    <row r="454" spans="1:12" hidden="1" x14ac:dyDescent="0.2">
      <c r="A454" s="2"/>
      <c r="B454" s="2"/>
      <c r="C454" s="2"/>
      <c r="D454" s="2"/>
      <c r="E454" s="2"/>
      <c r="F454" s="2"/>
      <c r="G454" s="2"/>
      <c r="H454" s="10"/>
      <c r="I454" s="10" t="str">
        <f>IF($H454="","",$H454-WEEKDAY($H454,2)+1)</f>
        <v/>
      </c>
      <c r="J454" s="10" t="str">
        <f>IF($H454="","",DATE(YEAR($H454),MONTH($H454),1))</f>
        <v/>
      </c>
      <c r="K454" s="2"/>
      <c r="L454" s="10"/>
    </row>
    <row r="455" spans="1:12" hidden="1" x14ac:dyDescent="0.2">
      <c r="A455" s="2"/>
      <c r="B455" s="2"/>
      <c r="C455" s="2"/>
      <c r="D455" s="2"/>
      <c r="E455" s="2"/>
      <c r="F455" s="2"/>
      <c r="G455" s="2"/>
      <c r="H455" s="10"/>
      <c r="I455" s="10" t="str">
        <f>IF($H455="","",$H455-WEEKDAY($H455,2)+1)</f>
        <v/>
      </c>
      <c r="J455" s="10" t="str">
        <f>IF($H455="","",DATE(YEAR($H455),MONTH($H455),1))</f>
        <v/>
      </c>
      <c r="K455" s="2"/>
      <c r="L455" s="10"/>
    </row>
    <row r="456" spans="1:12" hidden="1" x14ac:dyDescent="0.2">
      <c r="A456" s="2"/>
      <c r="B456" s="2"/>
      <c r="C456" s="2"/>
      <c r="D456" s="2"/>
      <c r="E456" s="2"/>
      <c r="F456" s="2"/>
      <c r="G456" s="2"/>
      <c r="H456" s="10"/>
      <c r="I456" s="10" t="str">
        <f>IF($H456="","",$H456-WEEKDAY($H456,2)+1)</f>
        <v/>
      </c>
      <c r="J456" s="10" t="str">
        <f>IF($H456="","",DATE(YEAR($H456),MONTH($H456),1))</f>
        <v/>
      </c>
      <c r="K456" s="2"/>
      <c r="L456" s="10"/>
    </row>
    <row r="457" spans="1:12" hidden="1" x14ac:dyDescent="0.2">
      <c r="A457" s="2"/>
      <c r="B457" s="2"/>
      <c r="C457" s="2"/>
      <c r="D457" s="2"/>
      <c r="E457" s="2"/>
      <c r="F457" s="2"/>
      <c r="G457" s="2"/>
      <c r="H457" s="10"/>
      <c r="I457" s="10" t="str">
        <f>IF($H457="","",$H457-WEEKDAY($H457,2)+1)</f>
        <v/>
      </c>
      <c r="J457" s="10" t="str">
        <f>IF($H457="","",DATE(YEAR($H457),MONTH($H457),1))</f>
        <v/>
      </c>
      <c r="K457" s="2"/>
      <c r="L457" s="10"/>
    </row>
    <row r="458" spans="1:12" hidden="1" x14ac:dyDescent="0.2">
      <c r="A458" s="2"/>
      <c r="B458" s="2"/>
      <c r="C458" s="2"/>
      <c r="D458" s="2"/>
      <c r="E458" s="2"/>
      <c r="F458" s="2"/>
      <c r="G458" s="2"/>
      <c r="H458" s="10"/>
      <c r="I458" s="10" t="str">
        <f>IF($H458="","",$H458-WEEKDAY($H458,2)+1)</f>
        <v/>
      </c>
      <c r="J458" s="10" t="str">
        <f>IF($H458="","",DATE(YEAR($H458),MONTH($H458),1))</f>
        <v/>
      </c>
      <c r="K458" s="2"/>
      <c r="L458" s="10"/>
    </row>
    <row r="459" spans="1:12" hidden="1" x14ac:dyDescent="0.2">
      <c r="A459" s="2"/>
      <c r="B459" s="2"/>
      <c r="C459" s="2"/>
      <c r="D459" s="2"/>
      <c r="E459" s="2"/>
      <c r="F459" s="2"/>
      <c r="G459" s="2"/>
      <c r="H459" s="10"/>
      <c r="I459" s="10" t="str">
        <f>IF($H459="","",$H459-WEEKDAY($H459,2)+1)</f>
        <v/>
      </c>
      <c r="J459" s="10" t="str">
        <f>IF($H459="","",DATE(YEAR($H459),MONTH($H459),1))</f>
        <v/>
      </c>
      <c r="K459" s="2"/>
      <c r="L459" s="10"/>
    </row>
    <row r="460" spans="1:12" hidden="1" x14ac:dyDescent="0.2">
      <c r="A460" s="2"/>
      <c r="B460" s="2"/>
      <c r="C460" s="2"/>
      <c r="D460" s="2"/>
      <c r="E460" s="2"/>
      <c r="F460" s="2"/>
      <c r="G460" s="2"/>
      <c r="H460" s="10"/>
      <c r="I460" s="10" t="str">
        <f>IF($H460="","",$H460-WEEKDAY($H460,2)+1)</f>
        <v/>
      </c>
      <c r="J460" s="10" t="str">
        <f>IF($H460="","",DATE(YEAR($H460),MONTH($H460),1))</f>
        <v/>
      </c>
      <c r="K460" s="2"/>
      <c r="L460" s="10"/>
    </row>
    <row r="461" spans="1:12" hidden="1" x14ac:dyDescent="0.2">
      <c r="A461" s="2"/>
      <c r="B461" s="2"/>
      <c r="C461" s="2"/>
      <c r="D461" s="2"/>
      <c r="E461" s="2"/>
      <c r="F461" s="2"/>
      <c r="G461" s="2"/>
      <c r="H461" s="10"/>
      <c r="I461" s="10" t="str">
        <f>IF($H461="","",$H461-WEEKDAY($H461,2)+1)</f>
        <v/>
      </c>
      <c r="J461" s="10" t="str">
        <f>IF($H461="","",DATE(YEAR($H461),MONTH($H461),1))</f>
        <v/>
      </c>
      <c r="K461" s="2"/>
      <c r="L461" s="10"/>
    </row>
    <row r="462" spans="1:12" hidden="1" x14ac:dyDescent="0.2">
      <c r="A462" s="2"/>
      <c r="B462" s="2"/>
      <c r="C462" s="2"/>
      <c r="D462" s="2"/>
      <c r="E462" s="2"/>
      <c r="F462" s="2"/>
      <c r="G462" s="2"/>
      <c r="H462" s="10"/>
      <c r="I462" s="10" t="str">
        <f>IF($H462="","",$H462-WEEKDAY($H462,2)+1)</f>
        <v/>
      </c>
      <c r="J462" s="10" t="str">
        <f>IF($H462="","",DATE(YEAR($H462),MONTH($H462),1))</f>
        <v/>
      </c>
      <c r="K462" s="2"/>
      <c r="L462" s="10"/>
    </row>
    <row r="463" spans="1:12" hidden="1" x14ac:dyDescent="0.2">
      <c r="A463" s="2"/>
      <c r="B463" s="2"/>
      <c r="C463" s="2"/>
      <c r="D463" s="2"/>
      <c r="E463" s="2"/>
      <c r="F463" s="2"/>
      <c r="G463" s="2"/>
      <c r="H463" s="10"/>
      <c r="I463" s="10" t="str">
        <f>IF($H463="","",$H463-WEEKDAY($H463,2)+1)</f>
        <v/>
      </c>
      <c r="J463" s="10" t="str">
        <f>IF($H463="","",DATE(YEAR($H463),MONTH($H463),1))</f>
        <v/>
      </c>
      <c r="K463" s="2"/>
      <c r="L463" s="10"/>
    </row>
    <row r="464" spans="1:12" hidden="1" x14ac:dyDescent="0.2">
      <c r="A464" s="2"/>
      <c r="B464" s="2"/>
      <c r="C464" s="2"/>
      <c r="D464" s="2"/>
      <c r="E464" s="2"/>
      <c r="F464" s="2"/>
      <c r="G464" s="2"/>
      <c r="H464" s="10"/>
      <c r="I464" s="10" t="str">
        <f>IF($H464="","",$H464-WEEKDAY($H464,2)+1)</f>
        <v/>
      </c>
      <c r="J464" s="10" t="str">
        <f>IF($H464="","",DATE(YEAR($H464),MONTH($H464),1))</f>
        <v/>
      </c>
      <c r="K464" s="2"/>
      <c r="L464" s="10"/>
    </row>
    <row r="465" spans="1:12" hidden="1" x14ac:dyDescent="0.2">
      <c r="A465" s="2"/>
      <c r="B465" s="2"/>
      <c r="C465" s="2"/>
      <c r="D465" s="2"/>
      <c r="E465" s="2"/>
      <c r="F465" s="2"/>
      <c r="G465" s="2"/>
      <c r="H465" s="10"/>
      <c r="I465" s="10" t="str">
        <f>IF($H465="","",$H465-WEEKDAY($H465,2)+1)</f>
        <v/>
      </c>
      <c r="J465" s="10" t="str">
        <f>IF($H465="","",DATE(YEAR($H465),MONTH($H465),1))</f>
        <v/>
      </c>
      <c r="K465" s="2"/>
      <c r="L465" s="10"/>
    </row>
    <row r="466" spans="1:12" hidden="1" x14ac:dyDescent="0.2">
      <c r="A466" s="2"/>
      <c r="B466" s="2"/>
      <c r="C466" s="2"/>
      <c r="D466" s="2"/>
      <c r="E466" s="2"/>
      <c r="F466" s="2"/>
      <c r="G466" s="2"/>
      <c r="H466" s="10"/>
      <c r="I466" s="10" t="str">
        <f>IF($H466="","",$H466-WEEKDAY($H466,2)+1)</f>
        <v/>
      </c>
      <c r="J466" s="10" t="str">
        <f>IF($H466="","",DATE(YEAR($H466),MONTH($H466),1))</f>
        <v/>
      </c>
      <c r="K466" s="2"/>
      <c r="L466" s="10"/>
    </row>
    <row r="467" spans="1:12" hidden="1" x14ac:dyDescent="0.2">
      <c r="A467" s="2"/>
      <c r="B467" s="2"/>
      <c r="C467" s="2"/>
      <c r="D467" s="2"/>
      <c r="E467" s="2"/>
      <c r="F467" s="2"/>
      <c r="G467" s="2"/>
      <c r="H467" s="10"/>
      <c r="I467" s="10" t="str">
        <f>IF($H467="","",$H467-WEEKDAY($H467,2)+1)</f>
        <v/>
      </c>
      <c r="J467" s="10" t="str">
        <f>IF($H467="","",DATE(YEAR($H467),MONTH($H467),1))</f>
        <v/>
      </c>
      <c r="K467" s="2"/>
      <c r="L467" s="10"/>
    </row>
    <row r="468" spans="1:12" hidden="1" x14ac:dyDescent="0.2">
      <c r="A468" s="2"/>
      <c r="B468" s="2"/>
      <c r="C468" s="2"/>
      <c r="D468" s="2"/>
      <c r="E468" s="2"/>
      <c r="F468" s="2"/>
      <c r="G468" s="2"/>
      <c r="H468" s="10"/>
      <c r="I468" s="10" t="str">
        <f>IF($H468="","",$H468-WEEKDAY($H468,2)+1)</f>
        <v/>
      </c>
      <c r="J468" s="10" t="str">
        <f>IF($H468="","",DATE(YEAR($H468),MONTH($H468),1))</f>
        <v/>
      </c>
      <c r="K468" s="2"/>
      <c r="L468" s="10"/>
    </row>
    <row r="469" spans="1:12" hidden="1" x14ac:dyDescent="0.2">
      <c r="A469" s="2"/>
      <c r="B469" s="2"/>
      <c r="C469" s="2"/>
      <c r="D469" s="2"/>
      <c r="E469" s="2"/>
      <c r="F469" s="2"/>
      <c r="G469" s="2"/>
      <c r="H469" s="10"/>
      <c r="I469" s="10" t="str">
        <f>IF($H469="","",$H469-WEEKDAY($H469,2)+1)</f>
        <v/>
      </c>
      <c r="J469" s="10" t="str">
        <f>IF($H469="","",DATE(YEAR($H469),MONTH($H469),1))</f>
        <v/>
      </c>
      <c r="K469" s="2"/>
      <c r="L469" s="10"/>
    </row>
    <row r="470" spans="1:12" hidden="1" x14ac:dyDescent="0.2">
      <c r="A470" s="2"/>
      <c r="B470" s="2"/>
      <c r="C470" s="2"/>
      <c r="D470" s="2"/>
      <c r="E470" s="2"/>
      <c r="F470" s="2"/>
      <c r="G470" s="2"/>
      <c r="H470" s="10"/>
      <c r="I470" s="10" t="str">
        <f>IF($H470="","",$H470-WEEKDAY($H470,2)+1)</f>
        <v/>
      </c>
      <c r="J470" s="10" t="str">
        <f>IF($H470="","",DATE(YEAR($H470),MONTH($H470),1))</f>
        <v/>
      </c>
      <c r="K470" s="2"/>
      <c r="L470" s="10"/>
    </row>
    <row r="471" spans="1:12" hidden="1" x14ac:dyDescent="0.2">
      <c r="A471" s="2"/>
      <c r="B471" s="2"/>
      <c r="C471" s="2"/>
      <c r="D471" s="2"/>
      <c r="E471" s="2"/>
      <c r="F471" s="2"/>
      <c r="G471" s="2"/>
      <c r="H471" s="10"/>
      <c r="I471" s="10" t="str">
        <f>IF($H471="","",$H471-WEEKDAY($H471,2)+1)</f>
        <v/>
      </c>
      <c r="J471" s="10" t="str">
        <f>IF($H471="","",DATE(YEAR($H471),MONTH($H471),1))</f>
        <v/>
      </c>
      <c r="K471" s="2"/>
      <c r="L471" s="10"/>
    </row>
    <row r="472" spans="1:12" hidden="1" x14ac:dyDescent="0.2">
      <c r="A472" s="2"/>
      <c r="B472" s="2"/>
      <c r="C472" s="2"/>
      <c r="D472" s="2"/>
      <c r="E472" s="2"/>
      <c r="F472" s="2"/>
      <c r="G472" s="2"/>
      <c r="H472" s="10"/>
      <c r="I472" s="10" t="str">
        <f>IF($H472="","",$H472-WEEKDAY($H472,2)+1)</f>
        <v/>
      </c>
      <c r="J472" s="10" t="str">
        <f>IF($H472="","",DATE(YEAR($H472),MONTH($H472),1))</f>
        <v/>
      </c>
      <c r="K472" s="2"/>
      <c r="L472" s="10"/>
    </row>
    <row r="473" spans="1:12" hidden="1" x14ac:dyDescent="0.2">
      <c r="A473" s="2"/>
      <c r="B473" s="2"/>
      <c r="C473" s="2"/>
      <c r="D473" s="2"/>
      <c r="E473" s="2"/>
      <c r="F473" s="2"/>
      <c r="G473" s="2"/>
      <c r="H473" s="10"/>
      <c r="I473" s="10" t="str">
        <f>IF($H473="","",$H473-WEEKDAY($H473,2)+1)</f>
        <v/>
      </c>
      <c r="J473" s="10" t="str">
        <f>IF($H473="","",DATE(YEAR($H473),MONTH($H473),1))</f>
        <v/>
      </c>
      <c r="K473" s="2"/>
      <c r="L473" s="10"/>
    </row>
    <row r="474" spans="1:12" hidden="1" x14ac:dyDescent="0.2">
      <c r="A474" s="2"/>
      <c r="B474" s="2"/>
      <c r="C474" s="2"/>
      <c r="D474" s="2"/>
      <c r="E474" s="2"/>
      <c r="F474" s="2"/>
      <c r="G474" s="2"/>
      <c r="H474" s="10"/>
      <c r="I474" s="10" t="str">
        <f>IF($H474="","",$H474-WEEKDAY($H474,2)+1)</f>
        <v/>
      </c>
      <c r="J474" s="10" t="str">
        <f>IF($H474="","",DATE(YEAR($H474),MONTH($H474),1))</f>
        <v/>
      </c>
      <c r="K474" s="2"/>
      <c r="L474" s="10"/>
    </row>
    <row r="475" spans="1:12" hidden="1" x14ac:dyDescent="0.2">
      <c r="A475" s="2"/>
      <c r="B475" s="2"/>
      <c r="C475" s="2"/>
      <c r="D475" s="2"/>
      <c r="E475" s="2"/>
      <c r="F475" s="2"/>
      <c r="G475" s="2"/>
      <c r="H475" s="10"/>
      <c r="I475" s="10" t="str">
        <f>IF($H475="","",$H475-WEEKDAY($H475,2)+1)</f>
        <v/>
      </c>
      <c r="J475" s="10" t="str">
        <f>IF($H475="","",DATE(YEAR($H475),MONTH($H475),1))</f>
        <v/>
      </c>
      <c r="K475" s="2"/>
      <c r="L475" s="10"/>
    </row>
    <row r="476" spans="1:12" hidden="1" x14ac:dyDescent="0.2">
      <c r="A476" s="2"/>
      <c r="B476" s="2"/>
      <c r="C476" s="2"/>
      <c r="D476" s="2"/>
      <c r="E476" s="2"/>
      <c r="F476" s="2"/>
      <c r="G476" s="2"/>
      <c r="H476" s="10"/>
      <c r="I476" s="10" t="str">
        <f>IF($H476="","",$H476-WEEKDAY($H476,2)+1)</f>
        <v/>
      </c>
      <c r="J476" s="10" t="str">
        <f>IF($H476="","",DATE(YEAR($H476),MONTH($H476),1))</f>
        <v/>
      </c>
      <c r="K476" s="2"/>
      <c r="L476" s="10"/>
    </row>
    <row r="477" spans="1:12" hidden="1" x14ac:dyDescent="0.2">
      <c r="A477" s="2"/>
      <c r="B477" s="2"/>
      <c r="C477" s="2"/>
      <c r="D477" s="2"/>
      <c r="E477" s="2"/>
      <c r="F477" s="2"/>
      <c r="G477" s="2"/>
      <c r="H477" s="10"/>
      <c r="I477" s="10" t="str">
        <f>IF($H477="","",$H477-WEEKDAY($H477,2)+1)</f>
        <v/>
      </c>
      <c r="J477" s="10" t="str">
        <f>IF($H477="","",DATE(YEAR($H477),MONTH($H477),1))</f>
        <v/>
      </c>
      <c r="K477" s="2"/>
      <c r="L477" s="10"/>
    </row>
    <row r="478" spans="1:12" hidden="1" x14ac:dyDescent="0.2">
      <c r="A478" s="2"/>
      <c r="B478" s="2"/>
      <c r="C478" s="2"/>
      <c r="D478" s="2"/>
      <c r="E478" s="2"/>
      <c r="F478" s="2"/>
      <c r="G478" s="2"/>
      <c r="H478" s="10"/>
      <c r="I478" s="10" t="str">
        <f>IF($H478="","",$H478-WEEKDAY($H478,2)+1)</f>
        <v/>
      </c>
      <c r="J478" s="10" t="str">
        <f>IF($H478="","",DATE(YEAR($H478),MONTH($H478),1))</f>
        <v/>
      </c>
      <c r="K478" s="2"/>
      <c r="L478" s="10"/>
    </row>
    <row r="479" spans="1:12" hidden="1" x14ac:dyDescent="0.2">
      <c r="A479" s="2"/>
      <c r="B479" s="2"/>
      <c r="C479" s="2"/>
      <c r="D479" s="2"/>
      <c r="E479" s="2"/>
      <c r="F479" s="2"/>
      <c r="G479" s="2"/>
      <c r="H479" s="10"/>
      <c r="I479" s="10" t="str">
        <f>IF($H479="","",$H479-WEEKDAY($H479,2)+1)</f>
        <v/>
      </c>
      <c r="J479" s="10" t="str">
        <f>IF($H479="","",DATE(YEAR($H479),MONTH($H479),1))</f>
        <v/>
      </c>
      <c r="K479" s="2"/>
      <c r="L479" s="10"/>
    </row>
    <row r="480" spans="1:12" hidden="1" x14ac:dyDescent="0.2">
      <c r="A480" s="2"/>
      <c r="B480" s="2"/>
      <c r="C480" s="2"/>
      <c r="D480" s="2"/>
      <c r="E480" s="2"/>
      <c r="F480" s="2"/>
      <c r="G480" s="2"/>
      <c r="H480" s="10"/>
      <c r="I480" s="10" t="str">
        <f>IF($H480="","",$H480-WEEKDAY($H480,2)+1)</f>
        <v/>
      </c>
      <c r="J480" s="10" t="str">
        <f>IF($H480="","",DATE(YEAR($H480),MONTH($H480),1))</f>
        <v/>
      </c>
      <c r="K480" s="2"/>
      <c r="L480" s="10"/>
    </row>
    <row r="481" spans="1:12" hidden="1" x14ac:dyDescent="0.2">
      <c r="A481" s="2"/>
      <c r="B481" s="2"/>
      <c r="C481" s="2"/>
      <c r="D481" s="2"/>
      <c r="E481" s="2"/>
      <c r="F481" s="2"/>
      <c r="G481" s="2"/>
      <c r="H481" s="10"/>
      <c r="I481" s="10" t="str">
        <f>IF($H481="","",$H481-WEEKDAY($H481,2)+1)</f>
        <v/>
      </c>
      <c r="J481" s="10" t="str">
        <f>IF($H481="","",DATE(YEAR($H481),MONTH($H481),1))</f>
        <v/>
      </c>
      <c r="K481" s="2"/>
      <c r="L481" s="10"/>
    </row>
    <row r="482" spans="1:12" hidden="1" x14ac:dyDescent="0.2">
      <c r="A482" s="2"/>
      <c r="B482" s="2"/>
      <c r="C482" s="2"/>
      <c r="D482" s="2"/>
      <c r="E482" s="2"/>
      <c r="F482" s="2"/>
      <c r="G482" s="2"/>
      <c r="H482" s="10"/>
      <c r="I482" s="10" t="str">
        <f>IF($H482="","",$H482-WEEKDAY($H482,2)+1)</f>
        <v/>
      </c>
      <c r="J482" s="10" t="str">
        <f>IF($H482="","",DATE(YEAR($H482),MONTH($H482),1))</f>
        <v/>
      </c>
      <c r="K482" s="2"/>
      <c r="L482" s="10"/>
    </row>
    <row r="483" spans="1:12" hidden="1" x14ac:dyDescent="0.2">
      <c r="A483" s="2"/>
      <c r="B483" s="2"/>
      <c r="C483" s="2"/>
      <c r="D483" s="2"/>
      <c r="E483" s="2"/>
      <c r="F483" s="2"/>
      <c r="G483" s="2"/>
      <c r="H483" s="10"/>
      <c r="I483" s="10" t="str">
        <f>IF($H483="","",$H483-WEEKDAY($H483,2)+1)</f>
        <v/>
      </c>
      <c r="J483" s="10" t="str">
        <f>IF($H483="","",DATE(YEAR($H483),MONTH($H483),1))</f>
        <v/>
      </c>
      <c r="K483" s="2"/>
      <c r="L483" s="10"/>
    </row>
    <row r="484" spans="1:12" hidden="1" x14ac:dyDescent="0.2">
      <c r="A484" s="2"/>
      <c r="B484" s="2"/>
      <c r="C484" s="2"/>
      <c r="D484" s="2"/>
      <c r="E484" s="2"/>
      <c r="F484" s="2"/>
      <c r="G484" s="2"/>
      <c r="H484" s="10"/>
      <c r="I484" s="10" t="str">
        <f>IF($H484="","",$H484-WEEKDAY($H484,2)+1)</f>
        <v/>
      </c>
      <c r="J484" s="10" t="str">
        <f>IF($H484="","",DATE(YEAR($H484),MONTH($H484),1))</f>
        <v/>
      </c>
      <c r="K484" s="2"/>
      <c r="L484" s="10"/>
    </row>
    <row r="485" spans="1:12" hidden="1" x14ac:dyDescent="0.2">
      <c r="A485" s="2"/>
      <c r="B485" s="2"/>
      <c r="C485" s="2"/>
      <c r="D485" s="2"/>
      <c r="E485" s="2"/>
      <c r="F485" s="2"/>
      <c r="G485" s="2"/>
      <c r="H485" s="10"/>
      <c r="I485" s="10" t="str">
        <f>IF($H485="","",$H485-WEEKDAY($H485,2)+1)</f>
        <v/>
      </c>
      <c r="J485" s="10" t="str">
        <f>IF($H485="","",DATE(YEAR($H485),MONTH($H485),1))</f>
        <v/>
      </c>
      <c r="K485" s="2"/>
      <c r="L485" s="10"/>
    </row>
    <row r="486" spans="1:12" hidden="1" x14ac:dyDescent="0.2">
      <c r="A486" s="2"/>
      <c r="B486" s="2"/>
      <c r="C486" s="2"/>
      <c r="D486" s="2"/>
      <c r="E486" s="2"/>
      <c r="F486" s="2"/>
      <c r="G486" s="2"/>
      <c r="H486" s="10"/>
      <c r="I486" s="10" t="str">
        <f>IF($H486="","",$H486-WEEKDAY($H486,2)+1)</f>
        <v/>
      </c>
      <c r="J486" s="10" t="str">
        <f>IF($H486="","",DATE(YEAR($H486),MONTH($H486),1))</f>
        <v/>
      </c>
      <c r="K486" s="2"/>
      <c r="L486" s="10"/>
    </row>
    <row r="487" spans="1:12" hidden="1" x14ac:dyDescent="0.2">
      <c r="A487" s="2"/>
      <c r="B487" s="2"/>
      <c r="C487" s="2"/>
      <c r="D487" s="2"/>
      <c r="E487" s="2"/>
      <c r="F487" s="2"/>
      <c r="G487" s="2"/>
      <c r="H487" s="10"/>
      <c r="I487" s="10" t="str">
        <f>IF($H487="","",$H487-WEEKDAY($H487,2)+1)</f>
        <v/>
      </c>
      <c r="J487" s="10" t="str">
        <f>IF($H487="","",DATE(YEAR($H487),MONTH($H487),1))</f>
        <v/>
      </c>
      <c r="K487" s="2"/>
      <c r="L487" s="10"/>
    </row>
    <row r="488" spans="1:12" hidden="1" x14ac:dyDescent="0.2">
      <c r="A488" s="2"/>
      <c r="B488" s="2"/>
      <c r="C488" s="2"/>
      <c r="D488" s="2"/>
      <c r="E488" s="2"/>
      <c r="F488" s="2"/>
      <c r="G488" s="2"/>
      <c r="H488" s="10"/>
      <c r="I488" s="10" t="str">
        <f>IF($H488="","",$H488-WEEKDAY($H488,2)+1)</f>
        <v/>
      </c>
      <c r="J488" s="10" t="str">
        <f>IF($H488="","",DATE(YEAR($H488),MONTH($H488),1))</f>
        <v/>
      </c>
      <c r="K488" s="2"/>
      <c r="L488" s="10"/>
    </row>
    <row r="489" spans="1:12" hidden="1" x14ac:dyDescent="0.2">
      <c r="A489" s="2"/>
      <c r="B489" s="2"/>
      <c r="C489" s="2"/>
      <c r="D489" s="2"/>
      <c r="E489" s="2"/>
      <c r="F489" s="2"/>
      <c r="G489" s="2"/>
      <c r="H489" s="10"/>
      <c r="I489" s="10" t="str">
        <f>IF($H489="","",$H489-WEEKDAY($H489,2)+1)</f>
        <v/>
      </c>
      <c r="J489" s="10" t="str">
        <f>IF($H489="","",DATE(YEAR($H489),MONTH($H489),1))</f>
        <v/>
      </c>
      <c r="K489" s="2"/>
      <c r="L489" s="10"/>
    </row>
    <row r="490" spans="1:12" hidden="1" x14ac:dyDescent="0.2">
      <c r="A490" s="2"/>
      <c r="B490" s="2"/>
      <c r="C490" s="2"/>
      <c r="D490" s="2"/>
      <c r="E490" s="2"/>
      <c r="F490" s="2"/>
      <c r="G490" s="2"/>
      <c r="H490" s="10"/>
      <c r="I490" s="10" t="str">
        <f>IF($H490="","",$H490-WEEKDAY($H490,2)+1)</f>
        <v/>
      </c>
      <c r="J490" s="10" t="str">
        <f>IF($H490="","",DATE(YEAR($H490),MONTH($H490),1))</f>
        <v/>
      </c>
      <c r="K490" s="2"/>
      <c r="L490" s="10"/>
    </row>
    <row r="491" spans="1:12" hidden="1" x14ac:dyDescent="0.2">
      <c r="A491" s="2"/>
      <c r="B491" s="2"/>
      <c r="C491" s="2"/>
      <c r="D491" s="2"/>
      <c r="E491" s="2"/>
      <c r="F491" s="2"/>
      <c r="G491" s="2"/>
      <c r="H491" s="10"/>
      <c r="I491" s="10" t="str">
        <f>IF($H491="","",$H491-WEEKDAY($H491,2)+1)</f>
        <v/>
      </c>
      <c r="J491" s="10" t="str">
        <f>IF($H491="","",DATE(YEAR($H491),MONTH($H491),1))</f>
        <v/>
      </c>
      <c r="K491" s="2"/>
      <c r="L491" s="10"/>
    </row>
    <row r="492" spans="1:12" hidden="1" x14ac:dyDescent="0.2">
      <c r="A492" s="2"/>
      <c r="B492" s="2"/>
      <c r="C492" s="2"/>
      <c r="D492" s="2"/>
      <c r="E492" s="2"/>
      <c r="F492" s="2"/>
      <c r="G492" s="2"/>
      <c r="H492" s="10"/>
      <c r="I492" s="10" t="str">
        <f>IF($H492="","",$H492-WEEKDAY($H492,2)+1)</f>
        <v/>
      </c>
      <c r="J492" s="10" t="str">
        <f>IF($H492="","",DATE(YEAR($H492),MONTH($H492),1))</f>
        <v/>
      </c>
      <c r="K492" s="2"/>
      <c r="L492" s="10"/>
    </row>
    <row r="493" spans="1:12" hidden="1" x14ac:dyDescent="0.2">
      <c r="A493" s="2"/>
      <c r="B493" s="2"/>
      <c r="C493" s="2"/>
      <c r="D493" s="2"/>
      <c r="E493" s="2"/>
      <c r="F493" s="2"/>
      <c r="G493" s="2"/>
      <c r="H493" s="10"/>
      <c r="I493" s="10" t="str">
        <f>IF($H493="","",$H493-WEEKDAY($H493,2)+1)</f>
        <v/>
      </c>
      <c r="J493" s="10" t="str">
        <f>IF($H493="","",DATE(YEAR($H493),MONTH($H493),1))</f>
        <v/>
      </c>
      <c r="K493" s="2"/>
      <c r="L493" s="10"/>
    </row>
    <row r="494" spans="1:12" hidden="1" x14ac:dyDescent="0.2">
      <c r="A494" s="2"/>
      <c r="B494" s="2"/>
      <c r="C494" s="2"/>
      <c r="D494" s="2"/>
      <c r="E494" s="2"/>
      <c r="F494" s="2"/>
      <c r="G494" s="2"/>
      <c r="H494" s="10"/>
      <c r="I494" s="10" t="str">
        <f>IF($H494="","",$H494-WEEKDAY($H494,2)+1)</f>
        <v/>
      </c>
      <c r="J494" s="10" t="str">
        <f>IF($H494="","",DATE(YEAR($H494),MONTH($H494),1))</f>
        <v/>
      </c>
      <c r="K494" s="2"/>
      <c r="L494" s="10"/>
    </row>
    <row r="495" spans="1:12" hidden="1" x14ac:dyDescent="0.2">
      <c r="A495" s="2"/>
      <c r="B495" s="2"/>
      <c r="C495" s="2"/>
      <c r="D495" s="2"/>
      <c r="E495" s="2"/>
      <c r="F495" s="2"/>
      <c r="G495" s="2"/>
      <c r="H495" s="10"/>
      <c r="I495" s="10" t="str">
        <f>IF($H495="","",$H495-WEEKDAY($H495,2)+1)</f>
        <v/>
      </c>
      <c r="J495" s="10" t="str">
        <f>IF($H495="","",DATE(YEAR($H495),MONTH($H495),1))</f>
        <v/>
      </c>
      <c r="K495" s="2"/>
      <c r="L495" s="10"/>
    </row>
    <row r="496" spans="1:12" hidden="1" x14ac:dyDescent="0.2">
      <c r="A496" s="2"/>
      <c r="B496" s="2"/>
      <c r="C496" s="2"/>
      <c r="D496" s="2"/>
      <c r="E496" s="2"/>
      <c r="F496" s="2"/>
      <c r="G496" s="2"/>
      <c r="H496" s="10"/>
      <c r="I496" s="10" t="str">
        <f>IF($H496="","",$H496-WEEKDAY($H496,2)+1)</f>
        <v/>
      </c>
      <c r="J496" s="10" t="str">
        <f>IF($H496="","",DATE(YEAR($H496),MONTH($H496),1))</f>
        <v/>
      </c>
      <c r="K496" s="2"/>
      <c r="L496" s="10"/>
    </row>
    <row r="497" spans="1:12" hidden="1" x14ac:dyDescent="0.2">
      <c r="A497" s="2"/>
      <c r="B497" s="2"/>
      <c r="C497" s="2"/>
      <c r="D497" s="2"/>
      <c r="E497" s="2"/>
      <c r="F497" s="2"/>
      <c r="G497" s="2"/>
      <c r="H497" s="10"/>
      <c r="I497" s="10" t="str">
        <f>IF($H497="","",$H497-WEEKDAY($H497,2)+1)</f>
        <v/>
      </c>
      <c r="J497" s="10" t="str">
        <f>IF($H497="","",DATE(YEAR($H497),MONTH($H497),1))</f>
        <v/>
      </c>
      <c r="K497" s="2"/>
      <c r="L497" s="10"/>
    </row>
    <row r="498" spans="1:12" hidden="1" x14ac:dyDescent="0.2">
      <c r="A498" s="2"/>
      <c r="B498" s="2"/>
      <c r="C498" s="2"/>
      <c r="D498" s="2"/>
      <c r="E498" s="2"/>
      <c r="F498" s="2"/>
      <c r="G498" s="2"/>
      <c r="H498" s="10"/>
      <c r="I498" s="10" t="str">
        <f>IF($H498="","",$H498-WEEKDAY($H498,2)+1)</f>
        <v/>
      </c>
      <c r="J498" s="10" t="str">
        <f>IF($H498="","",DATE(YEAR($H498),MONTH($H498),1))</f>
        <v/>
      </c>
      <c r="K498" s="2"/>
      <c r="L498" s="10"/>
    </row>
    <row r="499" spans="1:12" hidden="1" x14ac:dyDescent="0.2">
      <c r="A499" s="2"/>
      <c r="B499" s="2"/>
      <c r="C499" s="2"/>
      <c r="D499" s="2"/>
      <c r="E499" s="2"/>
      <c r="F499" s="2"/>
      <c r="G499" s="2"/>
      <c r="H499" s="10"/>
      <c r="I499" s="10" t="str">
        <f>IF($H499="","",$H499-WEEKDAY($H499,2)+1)</f>
        <v/>
      </c>
      <c r="J499" s="10" t="str">
        <f>IF($H499="","",DATE(YEAR($H499),MONTH($H499),1))</f>
        <v/>
      </c>
      <c r="K499" s="2"/>
      <c r="L499" s="10"/>
    </row>
    <row r="500" spans="1:12" hidden="1" x14ac:dyDescent="0.2">
      <c r="A500" s="2"/>
      <c r="B500" s="2"/>
      <c r="C500" s="2"/>
      <c r="D500" s="2"/>
      <c r="E500" s="2"/>
      <c r="F500" s="2"/>
      <c r="G500" s="2"/>
      <c r="H500" s="10"/>
      <c r="I500" s="10" t="str">
        <f>IF($H500="","",$H500-WEEKDAY($H500,2)+1)</f>
        <v/>
      </c>
      <c r="J500" s="10" t="str">
        <f>IF($H500="","",DATE(YEAR($H500),MONTH($H500),1))</f>
        <v/>
      </c>
      <c r="K500" s="2"/>
      <c r="L500" s="10"/>
    </row>
    <row r="501" spans="1:12" x14ac:dyDescent="0.2">
      <c r="I501" t="str">
        <f t="shared" ref="I450:I505" si="0">IF($H501="","",$H501-WEEKDAY($H501,2)+1)</f>
        <v/>
      </c>
      <c r="J501" t="str">
        <f t="shared" ref="J450:J505" si="1">IF($H501="","",DATE(YEAR($H501),MONTH($H501),1))</f>
        <v/>
      </c>
    </row>
    <row r="502" spans="1:12" x14ac:dyDescent="0.2">
      <c r="A502" s="20" t="s">
        <v>163</v>
      </c>
      <c r="B502" s="19"/>
      <c r="C502" s="19"/>
      <c r="D502" s="19"/>
      <c r="I502" t="str">
        <f t="shared" si="0"/>
        <v/>
      </c>
      <c r="J502" t="str">
        <f t="shared" si="1"/>
        <v/>
      </c>
    </row>
    <row r="503" spans="1:12" x14ac:dyDescent="0.2">
      <c r="A503" s="18" t="s">
        <v>164</v>
      </c>
      <c r="B503" s="19"/>
      <c r="C503" s="19"/>
      <c r="D503" s="19"/>
      <c r="I503" t="str">
        <f t="shared" si="0"/>
        <v/>
      </c>
      <c r="J503" t="str">
        <f t="shared" si="1"/>
        <v/>
      </c>
    </row>
    <row r="504" spans="1:12" x14ac:dyDescent="0.2">
      <c r="A504" s="18" t="s">
        <v>165</v>
      </c>
      <c r="B504" s="19"/>
      <c r="C504" s="19"/>
      <c r="D504" s="19"/>
      <c r="I504" t="str">
        <f t="shared" si="0"/>
        <v/>
      </c>
      <c r="J504" t="str">
        <f t="shared" si="1"/>
        <v/>
      </c>
    </row>
    <row r="505" spans="1:12" x14ac:dyDescent="0.2">
      <c r="A505" s="18" t="s">
        <v>166</v>
      </c>
      <c r="B505" s="19"/>
      <c r="C505" s="19"/>
      <c r="D505" s="19"/>
      <c r="I505" t="str">
        <f t="shared" si="0"/>
        <v/>
      </c>
      <c r="J505" t="str">
        <f t="shared" si="1"/>
        <v/>
      </c>
    </row>
  </sheetData>
  <mergeCells count="4">
    <mergeCell ref="A505:D505"/>
    <mergeCell ref="A503:D503"/>
    <mergeCell ref="A504:D504"/>
    <mergeCell ref="A502:D502"/>
  </mergeCells>
  <hyperlinks>
    <hyperlink ref="C38" r:id="rId1" xr:uid="{3A3D60D1-93A7-2C47-A1E5-7606654F8C0D}"/>
    <hyperlink ref="C54" r:id="rId2" xr:uid="{7929E40E-7499-384F-95D8-7D1518633F9F}"/>
    <hyperlink ref="C16" r:id="rId3" xr:uid="{1A7964DA-E58C-2344-BB5C-50C7A3F7D245}"/>
    <hyperlink ref="C58" r:id="rId4" xr:uid="{4F392772-9A5A-1F4A-97F9-CB8589FC88FC}"/>
    <hyperlink ref="C60" r:id="rId5" xr:uid="{87E1531E-A1F6-BF4F-B852-4DA04EE07DF1}"/>
    <hyperlink ref="C31" r:id="rId6" xr:uid="{77AC3F84-D424-EB4A-9A9D-1C397C4E895F}"/>
    <hyperlink ref="C65" r:id="rId7" xr:uid="{AE482EA5-7DD6-2C48-98A4-854A533694CA}"/>
    <hyperlink ref="C63" r:id="rId8" xr:uid="{E9CB54D1-4C7A-9948-A7AC-AFFAB523D2EA}"/>
    <hyperlink ref="C62" r:id="rId9" xr:uid="{BD7B4604-A5BF-5243-B3F9-9E5FC7E85F46}"/>
    <hyperlink ref="C69" r:id="rId10" xr:uid="{61AAD3C6-14B4-C645-87FD-1C0DC2E91D74}"/>
    <hyperlink ref="C70" r:id="rId11" xr:uid="{2153C35B-527D-E841-9FF1-D30AFE6452F2}"/>
    <hyperlink ref="C71" r:id="rId12" xr:uid="{3E67CA44-EC6B-CE46-9005-EEB3AE9CEF03}"/>
    <hyperlink ref="C72" r:id="rId13" xr:uid="{916C4442-B1CD-1B41-B573-68673523ADC2}"/>
    <hyperlink ref="C73" r:id="rId14" xr:uid="{E709F3EE-D793-CC49-AB12-C9E9801D9847}"/>
    <hyperlink ref="C66" r:id="rId15" xr:uid="{30005B64-AB18-704C-95E1-70F0A3096924}"/>
    <hyperlink ref="C57" r:id="rId16" xr:uid="{29F28FB0-C616-6348-87AA-C78635140FA6}"/>
    <hyperlink ref="C74" r:id="rId17" xr:uid="{AFE28DCC-1BE1-C749-927D-8F8201EE8158}"/>
    <hyperlink ref="C75" r:id="rId18" xr:uid="{501EEF2D-1378-294F-8E8E-1435881FA154}"/>
    <hyperlink ref="C77" r:id="rId19" xr:uid="{C54B59E2-2106-C544-884C-BC59B27B3367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selection activeCell="B33" sqref="B33"/>
    </sheetView>
  </sheetViews>
  <sheetFormatPr defaultColWidth="8.875" defaultRowHeight="15" x14ac:dyDescent="0.2"/>
  <cols>
    <col min="1" max="1" width="23.9453125" customWidth="1"/>
    <col min="2" max="2" width="9.953125" customWidth="1"/>
    <col min="3" max="3" width="2.015625" customWidth="1"/>
    <col min="4" max="4" width="13.98828125" customWidth="1"/>
    <col min="5" max="5" width="11.97265625" customWidth="1"/>
    <col min="6" max="6" width="2.015625" customWidth="1"/>
    <col min="7" max="7" width="13.98828125" customWidth="1"/>
    <col min="8" max="8" width="11.97265625" customWidth="1"/>
  </cols>
  <sheetData>
    <row r="1" spans="1:8" s="23" customFormat="1" ht="18.95" customHeight="1" x14ac:dyDescent="0.2">
      <c r="A1" s="23" t="s">
        <v>167</v>
      </c>
    </row>
    <row r="3" spans="1:8" ht="21" customHeight="1" x14ac:dyDescent="0.2">
      <c r="A3" s="4" t="s">
        <v>168</v>
      </c>
      <c r="B3" s="5">
        <f>COUNTA(Applications!$H$2:$H$500)</f>
        <v>75</v>
      </c>
      <c r="D3" s="4" t="s">
        <v>169</v>
      </c>
      <c r="E3" s="5">
        <f ca="1">COUNTIF(Applications!$I$2:$I$500,TODAY()-WEEKDAY(TODAY(),2)+1)</f>
        <v>8</v>
      </c>
      <c r="G3" s="4" t="s">
        <v>170</v>
      </c>
      <c r="H3" s="5">
        <f ca="1">COUNTIF(Applications!$J$2:$J$500,DATE(YEAR(TODAY()),MONTH(TODAY()),1))</f>
        <v>15</v>
      </c>
    </row>
    <row r="5" spans="1:8" x14ac:dyDescent="0.2">
      <c r="A5" s="21" t="s">
        <v>171</v>
      </c>
      <c r="B5" s="22"/>
      <c r="C5" s="22"/>
      <c r="D5" s="21" t="s">
        <v>172</v>
      </c>
      <c r="E5" s="22"/>
      <c r="F5" s="22"/>
      <c r="G5" s="21" t="s">
        <v>173</v>
      </c>
      <c r="H5" s="22"/>
    </row>
    <row r="6" spans="1:8" ht="15.95" customHeight="1" x14ac:dyDescent="0.2">
      <c r="A6" s="1" t="s">
        <v>174</v>
      </c>
      <c r="B6" s="1" t="s">
        <v>175</v>
      </c>
      <c r="D6" s="1" t="s">
        <v>176</v>
      </c>
      <c r="E6" s="1" t="s">
        <v>175</v>
      </c>
      <c r="G6" s="1" t="s">
        <v>177</v>
      </c>
      <c r="H6" s="1" t="s">
        <v>175</v>
      </c>
    </row>
    <row r="7" spans="1:8" ht="15.95" customHeight="1" x14ac:dyDescent="0.2">
      <c r="A7" s="2" t="s">
        <v>15</v>
      </c>
      <c r="B7" s="6">
        <f>COUNTIF(Applications!$E$2:$E$500,A7)</f>
        <v>75</v>
      </c>
      <c r="D7" s="8">
        <v>46020</v>
      </c>
      <c r="E7" s="6">
        <v>0</v>
      </c>
      <c r="G7" s="7">
        <f>Stats!D2</f>
        <v>46023</v>
      </c>
      <c r="H7" s="6">
        <f>Stats!E2</f>
        <v>60</v>
      </c>
    </row>
    <row r="8" spans="1:8" ht="15.95" customHeight="1" x14ac:dyDescent="0.2">
      <c r="A8" s="2" t="s">
        <v>178</v>
      </c>
      <c r="B8" s="6">
        <f>COUNTIF(Applications!$F$2:$F$500,A8)</f>
        <v>2</v>
      </c>
      <c r="D8" s="8">
        <v>46027</v>
      </c>
      <c r="E8" s="6">
        <f>COUNTIF(Applications!$I$2:$I$500,D8)</f>
        <v>13</v>
      </c>
      <c r="G8" s="7">
        <f>Stats!D3</f>
        <v>46054</v>
      </c>
      <c r="H8" s="6">
        <f>Stats!E3</f>
        <v>15</v>
      </c>
    </row>
    <row r="9" spans="1:8" ht="15.95" customHeight="1" x14ac:dyDescent="0.2">
      <c r="A9" s="2" t="s">
        <v>179</v>
      </c>
      <c r="B9" s="6">
        <f>COUNTIF(Applications!$E$2:$E$500,A9)</f>
        <v>0</v>
      </c>
      <c r="D9" s="8">
        <v>46034</v>
      </c>
      <c r="E9" s="6">
        <f>COUNTIF(Applications!$I$2:$I$500,D9)</f>
        <v>11</v>
      </c>
      <c r="G9" s="7">
        <f>Stats!D4</f>
        <v>46082</v>
      </c>
      <c r="H9" s="6">
        <f>Stats!E4</f>
        <v>0</v>
      </c>
    </row>
    <row r="10" spans="1:8" ht="15.95" customHeight="1" x14ac:dyDescent="0.2">
      <c r="A10" s="2" t="s">
        <v>20</v>
      </c>
      <c r="B10" s="6">
        <f>B16</f>
        <v>21</v>
      </c>
      <c r="D10" s="8">
        <v>46041</v>
      </c>
      <c r="E10" s="6">
        <f>COUNTIF(Applications!$I$2:$I$500,D10)</f>
        <v>18</v>
      </c>
      <c r="G10" s="7">
        <f>Stats!D5</f>
        <v>46113</v>
      </c>
      <c r="H10" s="6">
        <f>Stats!E5</f>
        <v>0</v>
      </c>
    </row>
    <row r="11" spans="1:8" ht="15.95" customHeight="1" x14ac:dyDescent="0.2">
      <c r="A11" s="2" t="s">
        <v>180</v>
      </c>
      <c r="B11" s="6">
        <f>COUNTIF(Applications!$F$2:$F$500,A11)</f>
        <v>42</v>
      </c>
      <c r="D11" s="8">
        <v>46048</v>
      </c>
      <c r="E11" s="6">
        <f>COUNTIF(Applications!$I$2:$I$500,D11)</f>
        <v>18</v>
      </c>
      <c r="G11" s="7">
        <f>Stats!D6</f>
        <v>46143</v>
      </c>
      <c r="H11" s="6">
        <f>Stats!E6</f>
        <v>0</v>
      </c>
    </row>
    <row r="12" spans="1:8" ht="15.95" customHeight="1" x14ac:dyDescent="0.2">
      <c r="A12" s="2" t="s">
        <v>181</v>
      </c>
      <c r="B12" s="6">
        <f>COUNTIF(Applications!$F$2:$F$500,A12)</f>
        <v>0</v>
      </c>
      <c r="D12" s="8">
        <v>46055</v>
      </c>
      <c r="E12" s="6">
        <f>COUNTIF(Applications!$I$2:$I$500,D12)</f>
        <v>7</v>
      </c>
      <c r="G12" s="7">
        <f>Stats!D7</f>
        <v>46174</v>
      </c>
      <c r="H12" s="6">
        <f>Stats!E7</f>
        <v>0</v>
      </c>
    </row>
    <row r="13" spans="1:8" x14ac:dyDescent="0.2">
      <c r="D13" s="8">
        <v>46062</v>
      </c>
      <c r="E13" s="6">
        <f>COUNTIF(Applications!$I$2:$I$500,D13)</f>
        <v>8</v>
      </c>
      <c r="G13" s="7">
        <f>Stats!D8</f>
        <v>46204</v>
      </c>
      <c r="H13" s="6">
        <f>Stats!E8</f>
        <v>0</v>
      </c>
    </row>
    <row r="14" spans="1:8" x14ac:dyDescent="0.2">
      <c r="D14" s="8">
        <v>46069</v>
      </c>
      <c r="E14" s="6">
        <f>COUNTIF(Applications!$I$2:$I$500,D14)</f>
        <v>0</v>
      </c>
      <c r="G14" s="7">
        <f>Stats!D9</f>
        <v>46235</v>
      </c>
      <c r="H14" s="6">
        <f>Stats!E9</f>
        <v>0</v>
      </c>
    </row>
    <row r="15" spans="1:8" x14ac:dyDescent="0.2">
      <c r="D15" s="8">
        <v>46076</v>
      </c>
      <c r="E15" s="6">
        <f>COUNTIF(Applications!$I$2:$I$500,D15)</f>
        <v>0</v>
      </c>
      <c r="G15" s="7">
        <f>Stats!D10</f>
        <v>46266</v>
      </c>
      <c r="H15" s="6">
        <f>Stats!E10</f>
        <v>0</v>
      </c>
    </row>
    <row r="16" spans="1:8" x14ac:dyDescent="0.2">
      <c r="A16" t="s">
        <v>182</v>
      </c>
      <c r="B16">
        <f>COUNTIF(Applications!$F$2:$F$500,"Rejected")</f>
        <v>21</v>
      </c>
      <c r="D16" s="8">
        <v>46083</v>
      </c>
      <c r="E16" s="6">
        <f>COUNTIF(Applications!$I$2:$I$500,D16)</f>
        <v>0</v>
      </c>
      <c r="G16" s="7">
        <f>Stats!D11</f>
        <v>46296</v>
      </c>
      <c r="H16" s="6">
        <f>Stats!E11</f>
        <v>0</v>
      </c>
    </row>
    <row r="17" spans="1:8" x14ac:dyDescent="0.2">
      <c r="D17" s="8">
        <v>46090</v>
      </c>
      <c r="E17" s="6">
        <f>COUNTIF(Applications!$I$2:$I$500,D17)</f>
        <v>0</v>
      </c>
      <c r="G17" s="7">
        <f>Stats!D12</f>
        <v>46327</v>
      </c>
      <c r="H17" s="6">
        <f>Stats!E12</f>
        <v>0</v>
      </c>
    </row>
    <row r="18" spans="1:8" x14ac:dyDescent="0.2">
      <c r="D18" s="8">
        <v>46097</v>
      </c>
      <c r="E18" s="6">
        <f>COUNTIF(Applications!$I$2:$I$500,D18)</f>
        <v>0</v>
      </c>
      <c r="G18" s="7">
        <f>Stats!D13</f>
        <v>46357</v>
      </c>
      <c r="H18" s="6">
        <f>Stats!E13</f>
        <v>0</v>
      </c>
    </row>
    <row r="19" spans="1:8" x14ac:dyDescent="0.2">
      <c r="D19" s="8">
        <v>46104</v>
      </c>
      <c r="E19" s="6">
        <f>COUNTIF(Applications!$I$2:$I$500,D19)</f>
        <v>0</v>
      </c>
    </row>
    <row r="20" spans="1:8" x14ac:dyDescent="0.2">
      <c r="A20" t="s">
        <v>253</v>
      </c>
      <c r="B20">
        <f>COUNTIF(Applications!$G$2:$G$500,"Yes")</f>
        <v>8</v>
      </c>
      <c r="D20" s="8">
        <v>46111</v>
      </c>
      <c r="E20" s="6">
        <f>COUNTIF(Applications!$I$2:$I$500,D20)</f>
        <v>0</v>
      </c>
    </row>
    <row r="21" spans="1:8" x14ac:dyDescent="0.2">
      <c r="A21" t="s">
        <v>254</v>
      </c>
      <c r="B21">
        <f>COUNTIF(Applications!$G$2:$G$500,"No")</f>
        <v>52</v>
      </c>
      <c r="D21" s="8">
        <v>46118</v>
      </c>
      <c r="E21" s="6">
        <f>COUNTIF(Applications!$I$2:$I$500,D21)</f>
        <v>0</v>
      </c>
    </row>
    <row r="22" spans="1:8" x14ac:dyDescent="0.2">
      <c r="D22" s="8">
        <v>46125</v>
      </c>
      <c r="E22" s="6">
        <f>COUNTIF(Applications!$I$2:$I$500,D22)</f>
        <v>0</v>
      </c>
    </row>
    <row r="23" spans="1:8" x14ac:dyDescent="0.2">
      <c r="D23" s="8">
        <v>46132</v>
      </c>
      <c r="E23" s="6">
        <f>COUNTIF(Applications!$I$2:$I$500,D23)</f>
        <v>0</v>
      </c>
    </row>
    <row r="24" spans="1:8" x14ac:dyDescent="0.2">
      <c r="D24" s="8">
        <v>46139</v>
      </c>
      <c r="E24" s="6">
        <f>COUNTIF(Applications!$I$2:$I$500,D24)</f>
        <v>0</v>
      </c>
    </row>
    <row r="25" spans="1:8" x14ac:dyDescent="0.2">
      <c r="D25" s="8">
        <v>46146</v>
      </c>
      <c r="E25" s="6">
        <f>COUNTIF(Applications!$I$2:$I$500,D25)</f>
        <v>0</v>
      </c>
    </row>
    <row r="26" spans="1:8" x14ac:dyDescent="0.2">
      <c r="D26" s="8">
        <v>46153</v>
      </c>
      <c r="E26" s="6">
        <f>COUNTIF(Applications!$I$2:$I$500,D26)</f>
        <v>0</v>
      </c>
    </row>
    <row r="27" spans="1:8" x14ac:dyDescent="0.2">
      <c r="D27" s="8">
        <v>46160</v>
      </c>
      <c r="E27" s="6">
        <f>COUNTIF(Applications!$I$2:$I$500,D27)</f>
        <v>0</v>
      </c>
    </row>
    <row r="28" spans="1:8" x14ac:dyDescent="0.2">
      <c r="D28" s="8">
        <v>46167</v>
      </c>
      <c r="E28" s="6">
        <f>COUNTIF(Applications!$I$2:$I$500,D28)</f>
        <v>0</v>
      </c>
    </row>
    <row r="29" spans="1:8" x14ac:dyDescent="0.2">
      <c r="D29" s="8">
        <v>46174</v>
      </c>
      <c r="E29" s="6">
        <f>COUNTIF(Applications!$I$2:$I$500,D29)</f>
        <v>0</v>
      </c>
    </row>
    <row r="30" spans="1:8" x14ac:dyDescent="0.2">
      <c r="D30" s="8">
        <v>46181</v>
      </c>
      <c r="E30" s="6">
        <f>COUNTIF(Applications!$I$2:$I$500,D30)</f>
        <v>0</v>
      </c>
    </row>
    <row r="31" spans="1:8" x14ac:dyDescent="0.2">
      <c r="D31" s="8">
        <v>46188</v>
      </c>
      <c r="E31" s="6">
        <f>COUNTIF(Applications!$I$2:$I$500,D31)</f>
        <v>0</v>
      </c>
    </row>
    <row r="32" spans="1:8" x14ac:dyDescent="0.2">
      <c r="D32" s="8">
        <v>46195</v>
      </c>
      <c r="E32" s="6">
        <f>COUNTIF(Applications!$I$2:$I$500,D32)</f>
        <v>0</v>
      </c>
    </row>
  </sheetData>
  <mergeCells count="4">
    <mergeCell ref="A5:C5"/>
    <mergeCell ref="A1:XFD1"/>
    <mergeCell ref="D5:F5"/>
    <mergeCell ref="G5:H5"/>
  </mergeCells>
  <pageMargins left="0.7" right="0.7" top="0.75" bottom="0.75" header="0.3" footer="0.3"/>
  <ignoredErrors>
    <ignoredError sqref="B8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/>
  </sheetViews>
  <sheetFormatPr defaultColWidth="8.875" defaultRowHeight="15" x14ac:dyDescent="0.2"/>
  <cols>
    <col min="1" max="2" width="13.98828125" customWidth="1"/>
    <col min="4" max="5" width="13.98828125" customWidth="1"/>
  </cols>
  <sheetData>
    <row r="1" spans="1:5" ht="21.95" customHeight="1" x14ac:dyDescent="0.2">
      <c r="A1" s="1" t="s">
        <v>176</v>
      </c>
      <c r="B1" s="1" t="s">
        <v>183</v>
      </c>
      <c r="D1" s="1" t="s">
        <v>8</v>
      </c>
      <c r="E1" s="1" t="s">
        <v>183</v>
      </c>
    </row>
    <row r="2" spans="1:5" x14ac:dyDescent="0.2">
      <c r="A2" s="3">
        <v>46027</v>
      </c>
      <c r="B2" s="6">
        <f>COUNTIF(Applications!$I$2:$I$500,A2)</f>
        <v>13</v>
      </c>
      <c r="D2" s="7">
        <v>46023</v>
      </c>
      <c r="E2" s="6">
        <f>COUNTIF(Applications!$J$2:$J$500,D2)</f>
        <v>60</v>
      </c>
    </row>
    <row r="3" spans="1:5" x14ac:dyDescent="0.2">
      <c r="A3" s="3">
        <v>46034</v>
      </c>
      <c r="B3" s="6">
        <f>COUNTIF(Applications!$I$2:$I$500,A3)</f>
        <v>11</v>
      </c>
      <c r="D3" s="7">
        <v>46054</v>
      </c>
      <c r="E3" s="6">
        <f>COUNTIF(Applications!$J$2:$J$500,D3)</f>
        <v>15</v>
      </c>
    </row>
    <row r="4" spans="1:5" x14ac:dyDescent="0.2">
      <c r="A4" s="3">
        <v>46041</v>
      </c>
      <c r="B4" s="6">
        <f>COUNTIF(Applications!$I$2:$I$500,A4)</f>
        <v>18</v>
      </c>
      <c r="D4" s="7">
        <v>46082</v>
      </c>
      <c r="E4" s="6">
        <f>COUNTIF(Applications!$J$2:$J$500,D4)</f>
        <v>0</v>
      </c>
    </row>
    <row r="5" spans="1:5" x14ac:dyDescent="0.2">
      <c r="A5" s="3">
        <v>46048</v>
      </c>
      <c r="B5" s="6">
        <f>COUNTIF(Applications!$I$2:$I$500,A5)</f>
        <v>18</v>
      </c>
      <c r="D5" s="7">
        <v>46113</v>
      </c>
      <c r="E5" s="6">
        <f>COUNTIF(Applications!$J$2:$J$500,D5)</f>
        <v>0</v>
      </c>
    </row>
    <row r="6" spans="1:5" x14ac:dyDescent="0.2">
      <c r="A6" s="3">
        <v>46055</v>
      </c>
      <c r="B6" s="6">
        <f>COUNTIF(Applications!$I$2:$I$500,A6)</f>
        <v>7</v>
      </c>
      <c r="D6" s="7">
        <v>46143</v>
      </c>
      <c r="E6" s="6">
        <f>COUNTIF(Applications!$J$2:$J$500,D6)</f>
        <v>0</v>
      </c>
    </row>
    <row r="7" spans="1:5" x14ac:dyDescent="0.2">
      <c r="A7" s="3">
        <v>46062</v>
      </c>
      <c r="B7" s="6">
        <f>COUNTIF(Applications!$I$2:$I$500,A7)</f>
        <v>8</v>
      </c>
      <c r="D7" s="7">
        <v>46174</v>
      </c>
      <c r="E7" s="6">
        <f>COUNTIF(Applications!$J$2:$J$500,D7)</f>
        <v>0</v>
      </c>
    </row>
    <row r="8" spans="1:5" x14ac:dyDescent="0.2">
      <c r="A8" s="3">
        <v>46069</v>
      </c>
      <c r="B8" s="6">
        <f>COUNTIF(Applications!$I$2:$I$500,A8)</f>
        <v>0</v>
      </c>
      <c r="D8" s="7">
        <v>46204</v>
      </c>
      <c r="E8" s="6">
        <f>COUNTIF(Applications!$J$2:$J$500,D8)</f>
        <v>0</v>
      </c>
    </row>
    <row r="9" spans="1:5" x14ac:dyDescent="0.2">
      <c r="A9" s="3">
        <v>46076</v>
      </c>
      <c r="B9" s="6">
        <f>COUNTIF(Applications!$I$2:$I$500,A9)</f>
        <v>0</v>
      </c>
      <c r="D9" s="7">
        <v>46235</v>
      </c>
      <c r="E9" s="6">
        <f>COUNTIF(Applications!$J$2:$J$500,D9)</f>
        <v>0</v>
      </c>
    </row>
    <row r="10" spans="1:5" x14ac:dyDescent="0.2">
      <c r="A10" s="3">
        <v>46083</v>
      </c>
      <c r="B10" s="6">
        <f>COUNTIF(Applications!$I$2:$I$500,A10)</f>
        <v>0</v>
      </c>
      <c r="D10" s="7">
        <v>46266</v>
      </c>
      <c r="E10" s="6">
        <f>COUNTIF(Applications!$J$2:$J$500,D10)</f>
        <v>0</v>
      </c>
    </row>
    <row r="11" spans="1:5" x14ac:dyDescent="0.2">
      <c r="A11" s="3">
        <v>46090</v>
      </c>
      <c r="B11" s="6">
        <f>COUNTIF(Applications!$I$2:$I$500,A11)</f>
        <v>0</v>
      </c>
      <c r="D11" s="7">
        <v>46296</v>
      </c>
      <c r="E11" s="6">
        <f>COUNTIF(Applications!$J$2:$J$500,D11)</f>
        <v>0</v>
      </c>
    </row>
    <row r="12" spans="1:5" x14ac:dyDescent="0.2">
      <c r="A12" s="3">
        <v>46097</v>
      </c>
      <c r="B12" s="6">
        <f>COUNTIF(Applications!$I$2:$I$500,A12)</f>
        <v>0</v>
      </c>
      <c r="D12" s="7">
        <v>46327</v>
      </c>
      <c r="E12" s="6">
        <f>COUNTIF(Applications!$J$2:$J$500,D12)</f>
        <v>0</v>
      </c>
    </row>
    <row r="13" spans="1:5" x14ac:dyDescent="0.2">
      <c r="A13" s="3">
        <v>46104</v>
      </c>
      <c r="B13" s="6">
        <f>COUNTIF(Applications!$I$2:$I$500,A13)</f>
        <v>0</v>
      </c>
      <c r="D13" s="7">
        <v>46357</v>
      </c>
      <c r="E13" s="6">
        <f>COUNTIF(Applications!$J$2:$J$500,D13)</f>
        <v>0</v>
      </c>
    </row>
    <row r="14" spans="1:5" x14ac:dyDescent="0.2">
      <c r="A14" s="3">
        <v>46111</v>
      </c>
      <c r="B14" s="6">
        <f>COUNTIF(Applications!$I$2:$I$500,A14)</f>
        <v>0</v>
      </c>
    </row>
    <row r="15" spans="1:5" x14ac:dyDescent="0.2">
      <c r="A15" s="3">
        <v>46118</v>
      </c>
      <c r="B15" s="6">
        <f>COUNTIF(Applications!$I$2:$I$500,A15)</f>
        <v>0</v>
      </c>
    </row>
    <row r="16" spans="1:5" x14ac:dyDescent="0.2">
      <c r="A16" s="3">
        <v>46125</v>
      </c>
      <c r="B16" s="6">
        <f>COUNTIF(Applications!$I$2:$I$500,A16)</f>
        <v>0</v>
      </c>
    </row>
    <row r="17" spans="1:2" x14ac:dyDescent="0.2">
      <c r="A17" s="3">
        <v>46132</v>
      </c>
      <c r="B17" s="6">
        <f>COUNTIF(Applications!$I$2:$I$500,A17)</f>
        <v>0</v>
      </c>
    </row>
    <row r="18" spans="1:2" x14ac:dyDescent="0.2">
      <c r="A18" s="3">
        <v>46139</v>
      </c>
      <c r="B18" s="6">
        <f>COUNTIF(Applications!$I$2:$I$500,A18)</f>
        <v>0</v>
      </c>
    </row>
    <row r="19" spans="1:2" x14ac:dyDescent="0.2">
      <c r="A19" s="3">
        <v>46146</v>
      </c>
      <c r="B19" s="6">
        <f>COUNTIF(Applications!$I$2:$I$500,A19)</f>
        <v>0</v>
      </c>
    </row>
    <row r="20" spans="1:2" x14ac:dyDescent="0.2">
      <c r="A20" s="3">
        <v>46153</v>
      </c>
      <c r="B20" s="6">
        <f>COUNTIF(Applications!$I$2:$I$500,A20)</f>
        <v>0</v>
      </c>
    </row>
    <row r="21" spans="1:2" x14ac:dyDescent="0.2">
      <c r="A21" s="3">
        <v>46160</v>
      </c>
      <c r="B21" s="6">
        <f>COUNTIF(Applications!$I$2:$I$500,A21)</f>
        <v>0</v>
      </c>
    </row>
    <row r="22" spans="1:2" x14ac:dyDescent="0.2">
      <c r="A22" s="3">
        <v>46167</v>
      </c>
      <c r="B22" s="6">
        <f>COUNTIF(Applications!$I$2:$I$500,A22)</f>
        <v>0</v>
      </c>
    </row>
    <row r="23" spans="1:2" x14ac:dyDescent="0.2">
      <c r="A23" s="3">
        <v>46174</v>
      </c>
      <c r="B23" s="6">
        <f>COUNTIF(Applications!$I$2:$I$500,A23)</f>
        <v>0</v>
      </c>
    </row>
    <row r="24" spans="1:2" x14ac:dyDescent="0.2">
      <c r="A24" s="3">
        <v>46181</v>
      </c>
      <c r="B24" s="6">
        <f>COUNTIF(Applications!$I$2:$I$500,A24)</f>
        <v>0</v>
      </c>
    </row>
    <row r="25" spans="1:2" x14ac:dyDescent="0.2">
      <c r="A25" s="3">
        <v>46188</v>
      </c>
      <c r="B25" s="6">
        <f>COUNTIF(Applications!$I$2:$I$500,A25)</f>
        <v>0</v>
      </c>
    </row>
    <row r="26" spans="1:2" x14ac:dyDescent="0.2">
      <c r="A26" s="3">
        <v>46195</v>
      </c>
      <c r="B26" s="6">
        <f>COUNTIF(Applications!$I$2:$I$500,A26)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>
      <selection activeCell="A7" sqref="A7"/>
    </sheetView>
  </sheetViews>
  <sheetFormatPr defaultColWidth="8.875" defaultRowHeight="15" x14ac:dyDescent="0.2"/>
  <cols>
    <col min="1" max="1" width="22.05859375" customWidth="1"/>
    <col min="3" max="3" width="25.9609375" customWidth="1"/>
  </cols>
  <sheetData>
    <row r="1" spans="1:3" x14ac:dyDescent="0.2">
      <c r="A1" s="4" t="s">
        <v>184</v>
      </c>
      <c r="C1" s="4" t="s">
        <v>185</v>
      </c>
    </row>
    <row r="2" spans="1:3" x14ac:dyDescent="0.2">
      <c r="A2" t="s">
        <v>15</v>
      </c>
      <c r="C2" t="s">
        <v>186</v>
      </c>
    </row>
    <row r="3" spans="1:3" x14ac:dyDescent="0.2">
      <c r="A3" t="s">
        <v>178</v>
      </c>
      <c r="C3" t="s">
        <v>187</v>
      </c>
    </row>
    <row r="4" spans="1:3" x14ac:dyDescent="0.2">
      <c r="A4" t="s">
        <v>179</v>
      </c>
      <c r="C4" t="s">
        <v>188</v>
      </c>
    </row>
    <row r="5" spans="1:3" x14ac:dyDescent="0.2">
      <c r="A5" t="s">
        <v>20</v>
      </c>
      <c r="C5" t="s">
        <v>189</v>
      </c>
    </row>
    <row r="6" spans="1:3" x14ac:dyDescent="0.2">
      <c r="A6" t="s">
        <v>180</v>
      </c>
      <c r="C6" t="s">
        <v>190</v>
      </c>
    </row>
    <row r="7" spans="1:3" x14ac:dyDescent="0.2">
      <c r="A7" t="s">
        <v>181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Dashboard</vt:lpstr>
      <vt:lpstr>Stats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Kivaria</dc:creator>
  <cp:lastModifiedBy>Joshua Kivaria</cp:lastModifiedBy>
  <dcterms:created xsi:type="dcterms:W3CDTF">2026-02-11T15:28:52Z</dcterms:created>
  <dcterms:modified xsi:type="dcterms:W3CDTF">2026-02-11T07:54:15Z</dcterms:modified>
</cp:coreProperties>
</file>